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ydroquebec-my.sharepoint.com/personal/zegal_walid_hydroquebec_com/Documents/Bureau/projets/Convex/"/>
    </mc:Choice>
  </mc:AlternateContent>
  <xr:revisionPtr revIDLastSave="2" documentId="8_{BCE0F4CD-17B9-4583-9544-A8AA641080A6}" xr6:coauthVersionLast="47" xr6:coauthVersionMax="47" xr10:uidLastSave="{2D886D0E-D501-43CB-AB23-B21B9111FE93}"/>
  <bookViews>
    <workbookView minimized="1" xWindow="2422" yWindow="2145" windowWidth="10801" windowHeight="6135" firstSheet="1" activeTab="1" xr2:uid="{B136ADDD-21ED-4EF6-8ECF-5D9925A03783}"/>
  </bookViews>
  <sheets>
    <sheet name="Guide" sheetId="4" r:id="rId1"/>
    <sheet name="En heures" sheetId="1" r:id="rId2"/>
    <sheet name="En jours" sheetId="3" r:id="rId3"/>
    <sheet name="Exemple" sheetId="5" r:id="rId4"/>
    <sheet name="Références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9" i="5" l="1"/>
  <c r="A78" i="5"/>
  <c r="C77" i="5"/>
  <c r="A77" i="5"/>
  <c r="C76" i="5"/>
  <c r="A76" i="5"/>
  <c r="C75" i="5"/>
  <c r="A75" i="5"/>
  <c r="D74" i="5"/>
  <c r="D80" i="5" s="1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Q7" i="5"/>
  <c r="C73" i="5" s="1"/>
  <c r="P7" i="5"/>
  <c r="C72" i="5" s="1"/>
  <c r="O7" i="5"/>
  <c r="C71" i="5" s="1"/>
  <c r="N7" i="5"/>
  <c r="C70" i="5" s="1"/>
  <c r="M7" i="5"/>
  <c r="C69" i="5" s="1"/>
  <c r="L7" i="5"/>
  <c r="C68" i="5" s="1"/>
  <c r="K7" i="5"/>
  <c r="C67" i="5" s="1"/>
  <c r="J7" i="5"/>
  <c r="C66" i="5" s="1"/>
  <c r="I7" i="5"/>
  <c r="C65" i="5" s="1"/>
  <c r="H7" i="5"/>
  <c r="C64" i="5" s="1"/>
  <c r="G7" i="5"/>
  <c r="C63" i="5" s="1"/>
  <c r="F7" i="5"/>
  <c r="C62" i="5" s="1"/>
  <c r="E7" i="5"/>
  <c r="C61" i="5" s="1"/>
  <c r="C77" i="1"/>
  <c r="C76" i="1"/>
  <c r="C75" i="1"/>
  <c r="C41" i="1"/>
  <c r="Q7" i="1"/>
  <c r="C73" i="1" s="1"/>
  <c r="F7" i="1"/>
  <c r="C62" i="1" s="1"/>
  <c r="G7" i="1"/>
  <c r="C63" i="1" s="1"/>
  <c r="H7" i="1"/>
  <c r="C64" i="1" s="1"/>
  <c r="I7" i="1"/>
  <c r="C65" i="1" s="1"/>
  <c r="J7" i="1"/>
  <c r="C66" i="1" s="1"/>
  <c r="K7" i="1"/>
  <c r="C67" i="1" s="1"/>
  <c r="L7" i="1"/>
  <c r="C68" i="1" s="1"/>
  <c r="M7" i="1"/>
  <c r="C69" i="1" s="1"/>
  <c r="N7" i="1"/>
  <c r="C70" i="1" s="1"/>
  <c r="O7" i="1"/>
  <c r="C71" i="1" s="1"/>
  <c r="P7" i="1"/>
  <c r="C72" i="1" s="1"/>
  <c r="E7" i="1"/>
  <c r="C61" i="1" s="1"/>
  <c r="F7" i="3"/>
  <c r="C62" i="3" s="1"/>
  <c r="G7" i="3"/>
  <c r="C63" i="3" s="1"/>
  <c r="H7" i="3"/>
  <c r="C64" i="3" s="1"/>
  <c r="I7" i="3"/>
  <c r="C65" i="3" s="1"/>
  <c r="J7" i="3"/>
  <c r="C66" i="3" s="1"/>
  <c r="K7" i="3"/>
  <c r="C67" i="3" s="1"/>
  <c r="L7" i="3"/>
  <c r="C68" i="3" s="1"/>
  <c r="M7" i="3"/>
  <c r="C69" i="3" s="1"/>
  <c r="N7" i="3"/>
  <c r="C70" i="3" s="1"/>
  <c r="O7" i="3"/>
  <c r="C71" i="3" s="1"/>
  <c r="P7" i="3"/>
  <c r="C72" i="3" s="1"/>
  <c r="Q7" i="3"/>
  <c r="C73" i="3" s="1"/>
  <c r="C4" i="2"/>
  <c r="C5" i="2"/>
  <c r="C6" i="2"/>
  <c r="C3" i="2"/>
  <c r="E7" i="3" s="1"/>
  <c r="C61" i="3" s="1"/>
  <c r="B74" i="5" l="1"/>
  <c r="B80" i="5" s="1"/>
  <c r="D55" i="5"/>
  <c r="C74" i="5"/>
  <c r="C78" i="5" s="1"/>
  <c r="C79" i="5" s="1"/>
  <c r="C80" i="5" s="1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79" i="3"/>
  <c r="A78" i="3"/>
  <c r="C77" i="3"/>
  <c r="A77" i="3"/>
  <c r="C76" i="3"/>
  <c r="A76" i="3"/>
  <c r="C75" i="3"/>
  <c r="A75" i="3"/>
  <c r="D74" i="3"/>
  <c r="D80" i="3" s="1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D79" i="1"/>
  <c r="D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40" i="1"/>
  <c r="A73" i="1"/>
  <c r="A72" i="1"/>
  <c r="A71" i="1"/>
  <c r="A70" i="1"/>
  <c r="A69" i="1"/>
  <c r="A76" i="1"/>
  <c r="A77" i="1"/>
  <c r="A78" i="1"/>
  <c r="A75" i="1"/>
  <c r="A68" i="1"/>
  <c r="A67" i="1"/>
  <c r="A66" i="1"/>
  <c r="A65" i="1"/>
  <c r="A64" i="1"/>
  <c r="A63" i="1"/>
  <c r="A62" i="1"/>
  <c r="A61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40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40" i="1"/>
  <c r="B74" i="3" l="1"/>
  <c r="B80" i="3" s="1"/>
  <c r="D55" i="3"/>
  <c r="C74" i="3"/>
  <c r="D80" i="1"/>
  <c r="C74" i="1"/>
  <c r="C78" i="1" s="1"/>
  <c r="C79" i="1" s="1"/>
  <c r="C80" i="1" s="1"/>
  <c r="B74" i="1"/>
  <c r="B80" i="1" s="1"/>
  <c r="D55" i="1"/>
  <c r="C78" i="3" l="1"/>
  <c r="C79" i="3" s="1"/>
  <c r="C80" i="3" s="1"/>
</calcChain>
</file>

<file path=xl/sharedStrings.xml><?xml version="1.0" encoding="utf-8"?>
<sst xmlns="http://schemas.openxmlformats.org/spreadsheetml/2006/main" count="328" uniqueCount="81">
  <si>
    <t>Comment procéder ?</t>
  </si>
  <si>
    <t xml:space="preserve">Choisissez votre onglet selon vos préférences d'estimation des efforts (heures ou jours). </t>
  </si>
  <si>
    <t>Renseignez les activités et livrables de votre échéancier à haut niveau.</t>
  </si>
  <si>
    <t>Indiquez les noms des ressources impliquées et sélectionnez leur rôle. Le taux s'ajustera automatiquement.</t>
  </si>
  <si>
    <t>Renseignez la quantité de travail requise par ressource pour chaque activité / livrable (en heures ou en jours, selon l'onglet choisi).</t>
  </si>
  <si>
    <t xml:space="preserve">Renseignez les charges primaires (achat de matériel, service externe, frais de déplacement…etc) ainsi que leurs montants. </t>
  </si>
  <si>
    <t>Sélectionnez le % de contingence si requis. Le montant se calculera automatiquement en proportion des efforts seulement.</t>
  </si>
  <si>
    <t xml:space="preserve">La partie du bas compile automatiquement les informations dans le format requis pour le mandat d'expertise. Recopiez simplement ces informations dans le mandat. </t>
  </si>
  <si>
    <t>Taux en vigueur</t>
  </si>
  <si>
    <t>(version à jour disponible sur le Sharepoint du Bureau de projets)</t>
  </si>
  <si>
    <t>Cellules à renseigner</t>
  </si>
  <si>
    <t>ACTIVITÉS / LIVRABLES</t>
  </si>
  <si>
    <t>Main d'œuvre (en heures)</t>
  </si>
  <si>
    <t>Nom de la ressource</t>
  </si>
  <si>
    <t>Saisir nom</t>
  </si>
  <si>
    <t>Rôle de la ressource</t>
  </si>
  <si>
    <t>À sélectionner</t>
  </si>
  <si>
    <t>Début</t>
  </si>
  <si>
    <t>Fin</t>
  </si>
  <si>
    <t>Gestion de projet</t>
  </si>
  <si>
    <t>Nb heures</t>
  </si>
  <si>
    <t>Activité / Livrable 1</t>
  </si>
  <si>
    <t>Activité / Livrable 2</t>
  </si>
  <si>
    <t>Activité / Livrable 3</t>
  </si>
  <si>
    <t>Activité / Livrable 4</t>
  </si>
  <si>
    <t>Activité / Livrable 5</t>
  </si>
  <si>
    <t>Activité / Livrable 6</t>
  </si>
  <si>
    <t>Activité / Livrable 7</t>
  </si>
  <si>
    <t>Activité / Livrable 8</t>
  </si>
  <si>
    <t>Activité / Livrable 9</t>
  </si>
  <si>
    <t>Activité / Livrable 10</t>
  </si>
  <si>
    <t>Activité / Livrable 11</t>
  </si>
  <si>
    <t>Activité / Livrable 12</t>
  </si>
  <si>
    <t>Activité / Livrable 13</t>
  </si>
  <si>
    <t>Activité / Livrable 14</t>
  </si>
  <si>
    <t>CHARGES PRIMAIRES ET CONTINGENCE</t>
  </si>
  <si>
    <t>Charges primaires et contingence</t>
  </si>
  <si>
    <t>Matériel</t>
  </si>
  <si>
    <t>Service professionnel</t>
  </si>
  <si>
    <t>Autre dépense</t>
  </si>
  <si>
    <t>Contingence</t>
  </si>
  <si>
    <t>Achat / Service 1</t>
  </si>
  <si>
    <t>Coût</t>
  </si>
  <si>
    <t>Achat / Service 2</t>
  </si>
  <si>
    <t>Achat / Service 3</t>
  </si>
  <si>
    <t>Contigence</t>
  </si>
  <si>
    <t>%</t>
  </si>
  <si>
    <t>À reporter dans le mandat d'expertise (calculé automatiquement)</t>
  </si>
  <si>
    <t>Échéancier</t>
  </si>
  <si>
    <t>Activités / Livrables</t>
  </si>
  <si>
    <t>Effort requis</t>
  </si>
  <si>
    <t>TOTAL</t>
  </si>
  <si>
    <t>Affectation des ressources (main d'œuvre / matériel)</t>
  </si>
  <si>
    <t>Main d'œuvre</t>
  </si>
  <si>
    <t>Effort (Heures)</t>
  </si>
  <si>
    <t>Coût Charges</t>
  </si>
  <si>
    <t>Coût Invest</t>
  </si>
  <si>
    <t>Sous-total Main d'œuvre</t>
  </si>
  <si>
    <t>n/a</t>
  </si>
  <si>
    <t>Sous-total Charges primaires et contingence</t>
  </si>
  <si>
    <t xml:space="preserve">* Pour les planifications s'étalant sur deux années différentes, le coût exact final sera renseigné par le conseiller du Bureau de projet après l'intégration du projet dans EPM. </t>
  </si>
  <si>
    <t>Main d'œuvre (en jours)</t>
  </si>
  <si>
    <t>Nb jours</t>
  </si>
  <si>
    <t>Michel XY</t>
  </si>
  <si>
    <t>Isabelle XY</t>
  </si>
  <si>
    <t>François XY</t>
  </si>
  <si>
    <t>Scientifique</t>
  </si>
  <si>
    <t>Technicien</t>
  </si>
  <si>
    <t>Préparation du banc d'essais</t>
  </si>
  <si>
    <t>Réalisation des essais</t>
  </si>
  <si>
    <t>Analyse des résultats</t>
  </si>
  <si>
    <t>Rédaction du rapport</t>
  </si>
  <si>
    <t>Matériel pour banc d'essais</t>
  </si>
  <si>
    <t>Déplacements</t>
  </si>
  <si>
    <t>RÔLE</t>
  </si>
  <si>
    <t>TAUX 2026</t>
  </si>
  <si>
    <t>TAUX 2026 (j)</t>
  </si>
  <si>
    <t>-</t>
  </si>
  <si>
    <t>Spécialiste</t>
  </si>
  <si>
    <t>Stagiaire</t>
  </si>
  <si>
    <t>Walid ZEGAL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</si>
</sst>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#,##0.00,&quot; K$&quot;;\(#,##0.00,\K&quot;$&quot;\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CF4FA"/>
        <bgColor indexed="64"/>
      </patternFill>
    </fill>
    <fill>
      <patternFill patternType="lightUp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6" xfId="0" applyBorder="1" applyAlignment="1">
      <alignment vertical="center"/>
    </xf>
    <xf numFmtId="14" fontId="0" fillId="0" borderId="6" xfId="0" applyNumberForma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right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right" vertical="center"/>
    </xf>
    <xf numFmtId="44" fontId="0" fillId="6" borderId="6" xfId="1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44" fontId="0" fillId="7" borderId="6" xfId="0" applyNumberForma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right" vertical="center"/>
    </xf>
    <xf numFmtId="0" fontId="2" fillId="7" borderId="6" xfId="0" applyFont="1" applyFill="1" applyBorder="1" applyAlignment="1">
      <alignment vertical="center"/>
    </xf>
    <xf numFmtId="0" fontId="2" fillId="7" borderId="6" xfId="0" applyFont="1" applyFill="1" applyBorder="1" applyAlignment="1">
      <alignment horizontal="center" vertical="center"/>
    </xf>
    <xf numFmtId="44" fontId="0" fillId="0" borderId="0" xfId="1" applyFont="1"/>
    <xf numFmtId="9" fontId="0" fillId="0" borderId="0" xfId="2" applyFont="1"/>
    <xf numFmtId="0" fontId="0" fillId="2" borderId="6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 wrapText="1"/>
    </xf>
    <xf numFmtId="0" fontId="4" fillId="4" borderId="0" xfId="0" applyFont="1" applyFill="1" applyAlignment="1">
      <alignment horizontal="center" vertical="center"/>
    </xf>
    <xf numFmtId="0" fontId="0" fillId="9" borderId="0" xfId="0" applyFill="1" applyAlignment="1">
      <alignment vertical="center"/>
    </xf>
    <xf numFmtId="2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44" fontId="0" fillId="0" borderId="0" xfId="0" applyNumberFormat="1"/>
    <xf numFmtId="0" fontId="0" fillId="0" borderId="0" xfId="0" quotePrefix="1" applyAlignment="1">
      <alignment vertical="center"/>
    </xf>
    <xf numFmtId="0" fontId="0" fillId="8" borderId="1" xfId="0" applyFill="1" applyBorder="1" applyAlignment="1" applyProtection="1">
      <alignment horizontal="left" vertical="center"/>
      <protection locked="0"/>
    </xf>
    <xf numFmtId="14" fontId="0" fillId="8" borderId="1" xfId="0" applyNumberForma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44" fontId="0" fillId="8" borderId="1" xfId="1" applyFont="1" applyFill="1" applyBorder="1" applyAlignment="1" applyProtection="1">
      <alignment horizontal="center" vertical="center"/>
      <protection locked="0"/>
    </xf>
    <xf numFmtId="9" fontId="0" fillId="8" borderId="1" xfId="2" applyFont="1" applyFill="1" applyBorder="1" applyAlignment="1" applyProtection="1">
      <alignment horizontal="center" vertical="center"/>
      <protection locked="0"/>
    </xf>
    <xf numFmtId="2" fontId="2" fillId="7" borderId="6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6" borderId="6" xfId="1" applyNumberFormat="1" applyFont="1" applyFill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44" fontId="0" fillId="2" borderId="1" xfId="1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ECF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B422-9FED-4B60-A476-097BB0C4BFA0}">
  <sheetPr>
    <tabColor theme="8"/>
  </sheetPr>
  <dimension ref="A1:B8"/>
  <sheetViews>
    <sheetView workbookViewId="0">
      <selection activeCell="B23" sqref="B23"/>
    </sheetView>
  </sheetViews>
  <sheetFormatPr baseColWidth="10" defaultColWidth="11.59765625" defaultRowHeight="14.25" x14ac:dyDescent="0.45"/>
  <cols>
    <col min="1" max="1" width="9.265625" style="4" customWidth="1"/>
    <col min="2" max="2" width="146.86328125" style="1" bestFit="1" customWidth="1"/>
    <col min="3" max="16384" width="11.59765625" style="1"/>
  </cols>
  <sheetData>
    <row r="1" spans="1:2" x14ac:dyDescent="0.45">
      <c r="A1" s="70" t="s">
        <v>0</v>
      </c>
      <c r="B1" s="70"/>
    </row>
    <row r="2" spans="1:2" x14ac:dyDescent="0.45">
      <c r="A2" s="7">
        <v>1</v>
      </c>
      <c r="B2" s="50" t="s">
        <v>1</v>
      </c>
    </row>
    <row r="3" spans="1:2" x14ac:dyDescent="0.45">
      <c r="A3" s="7">
        <v>2</v>
      </c>
      <c r="B3" s="50" t="s">
        <v>2</v>
      </c>
    </row>
    <row r="4" spans="1:2" x14ac:dyDescent="0.45">
      <c r="A4" s="7">
        <v>3</v>
      </c>
      <c r="B4" s="50" t="s">
        <v>3</v>
      </c>
    </row>
    <row r="5" spans="1:2" x14ac:dyDescent="0.45">
      <c r="A5" s="7">
        <v>4</v>
      </c>
      <c r="B5" s="50" t="s">
        <v>4</v>
      </c>
    </row>
    <row r="6" spans="1:2" x14ac:dyDescent="0.45">
      <c r="A6" s="7">
        <v>5</v>
      </c>
      <c r="B6" s="50" t="s">
        <v>5</v>
      </c>
    </row>
    <row r="7" spans="1:2" x14ac:dyDescent="0.45">
      <c r="A7" s="7">
        <v>6</v>
      </c>
      <c r="B7" s="50" t="s">
        <v>6</v>
      </c>
    </row>
    <row r="8" spans="1:2" x14ac:dyDescent="0.45">
      <c r="A8" s="7">
        <v>7</v>
      </c>
      <c r="B8" s="50" t="s">
        <v>7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1E84-48F0-4D4A-9A7E-B95784518EF5}">
  <sheetPr codeName="Feuil1"/>
  <dimension ref="A1:T82"/>
  <sheetViews>
    <sheetView showGridLines="0" tabSelected="1" topLeftCell="D1" zoomScaleNormal="100" workbookViewId="0">
      <selection activeCell="E10" sqref="E10"/>
    </sheetView>
  </sheetViews>
  <sheetFormatPr baseColWidth="10" defaultColWidth="11.59765625" defaultRowHeight="14.25" x14ac:dyDescent="0.45"/>
  <cols>
    <col min="1" max="1" width="56.86328125" style="1" customWidth="1"/>
    <col min="2" max="3" width="15.73046875" style="1" customWidth="1"/>
    <col min="4" max="4" width="20.73046875" style="1" bestFit="1" customWidth="1"/>
    <col min="5" max="5" width="21.86328125" style="1" customWidth="1"/>
    <col min="6" max="17" width="17.1328125" style="1" customWidth="1"/>
    <col min="18" max="20" width="11.59765625" style="47"/>
    <col min="21" max="16384" width="11.59765625" style="1"/>
  </cols>
  <sheetData>
    <row r="1" spans="1:17" x14ac:dyDescent="0.45">
      <c r="A1" s="2" t="s">
        <v>8</v>
      </c>
      <c r="B1" s="8">
        <v>2026</v>
      </c>
      <c r="C1" s="3" t="s">
        <v>9</v>
      </c>
      <c r="D1" s="2"/>
    </row>
    <row r="2" spans="1:17" x14ac:dyDescent="0.45">
      <c r="A2" s="2" t="s">
        <v>10</v>
      </c>
      <c r="B2" s="31"/>
      <c r="C2" s="3"/>
      <c r="D2" s="2"/>
    </row>
    <row r="4" spans="1:17" x14ac:dyDescent="0.45">
      <c r="A4" s="58" t="s">
        <v>11</v>
      </c>
      <c r="B4" s="59"/>
      <c r="C4" s="60"/>
      <c r="D4" s="55" t="s">
        <v>12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7"/>
    </row>
    <row r="5" spans="1:17" ht="31.9" customHeight="1" x14ac:dyDescent="0.45">
      <c r="A5" s="61"/>
      <c r="B5" s="62"/>
      <c r="C5" s="63"/>
      <c r="D5" s="6" t="s">
        <v>13</v>
      </c>
      <c r="E5" s="40" t="s">
        <v>80</v>
      </c>
      <c r="F5" s="40" t="s">
        <v>14</v>
      </c>
      <c r="G5" s="40" t="s">
        <v>14</v>
      </c>
      <c r="H5" s="40" t="s">
        <v>14</v>
      </c>
      <c r="I5" s="40" t="s">
        <v>14</v>
      </c>
      <c r="J5" s="40" t="s">
        <v>14</v>
      </c>
      <c r="K5" s="40" t="s">
        <v>14</v>
      </c>
      <c r="L5" s="40" t="s">
        <v>14</v>
      </c>
      <c r="M5" s="40" t="s">
        <v>14</v>
      </c>
      <c r="N5" s="40" t="s">
        <v>14</v>
      </c>
      <c r="O5" s="40" t="s">
        <v>14</v>
      </c>
      <c r="P5" s="40" t="s">
        <v>14</v>
      </c>
      <c r="Q5" s="40" t="s">
        <v>14</v>
      </c>
    </row>
    <row r="6" spans="1:17" x14ac:dyDescent="0.45">
      <c r="A6" s="61"/>
      <c r="B6" s="62"/>
      <c r="C6" s="63"/>
      <c r="D6" s="6" t="s">
        <v>15</v>
      </c>
      <c r="E6" s="39" t="s">
        <v>66</v>
      </c>
      <c r="F6" s="39" t="s">
        <v>16</v>
      </c>
      <c r="G6" s="39" t="s">
        <v>16</v>
      </c>
      <c r="H6" s="39" t="s">
        <v>16</v>
      </c>
      <c r="I6" s="39" t="s">
        <v>16</v>
      </c>
      <c r="J6" s="39" t="s">
        <v>16</v>
      </c>
      <c r="K6" s="39" t="s">
        <v>16</v>
      </c>
      <c r="L6" s="39" t="s">
        <v>16</v>
      </c>
      <c r="M6" s="39" t="s">
        <v>16</v>
      </c>
      <c r="N6" s="39" t="s">
        <v>16</v>
      </c>
      <c r="O6" s="39" t="s">
        <v>16</v>
      </c>
      <c r="P6" s="39" t="s">
        <v>16</v>
      </c>
      <c r="Q6" s="39" t="s">
        <v>16</v>
      </c>
    </row>
    <row r="7" spans="1:17" x14ac:dyDescent="0.45">
      <c r="A7" s="64"/>
      <c r="B7" s="65"/>
      <c r="C7" s="66"/>
      <c r="D7" s="6" t="s">
        <v>8</v>
      </c>
      <c r="E7" s="29">
        <f>VLOOKUP(E6,Références!$A$2:$C$6,2,FALSE)</f>
        <v>227.38</v>
      </c>
      <c r="F7" s="29" t="str">
        <f>VLOOKUP(F6,Références!$A$2:$C$6,2,FALSE)</f>
        <v>-</v>
      </c>
      <c r="G7" s="29" t="str">
        <f>VLOOKUP(G6,Références!$A$2:$C$6,2,FALSE)</f>
        <v>-</v>
      </c>
      <c r="H7" s="29" t="str">
        <f>VLOOKUP(H6,Références!$A$2:$C$6,2,FALSE)</f>
        <v>-</v>
      </c>
      <c r="I7" s="29" t="str">
        <f>VLOOKUP(I6,Références!$A$2:$C$6,2,FALSE)</f>
        <v>-</v>
      </c>
      <c r="J7" s="29" t="str">
        <f>VLOOKUP(J6,Références!$A$2:$C$6,2,FALSE)</f>
        <v>-</v>
      </c>
      <c r="K7" s="29" t="str">
        <f>VLOOKUP(K6,Références!$A$2:$C$6,2,FALSE)</f>
        <v>-</v>
      </c>
      <c r="L7" s="29" t="str">
        <f>VLOOKUP(L6,Références!$A$2:$C$6,2,FALSE)</f>
        <v>-</v>
      </c>
      <c r="M7" s="29" t="str">
        <f>VLOOKUP(M6,Références!$A$2:$C$6,2,FALSE)</f>
        <v>-</v>
      </c>
      <c r="N7" s="29" t="str">
        <f>VLOOKUP(N6,Références!$A$2:$C$6,2,FALSE)</f>
        <v>-</v>
      </c>
      <c r="O7" s="29" t="str">
        <f>VLOOKUP(O6,Références!$A$2:$C$6,2,FALSE)</f>
        <v>-</v>
      </c>
      <c r="P7" s="29" t="str">
        <f>VLOOKUP(P6,Références!$A$2:$C$6,2,FALSE)</f>
        <v>-</v>
      </c>
      <c r="Q7" s="29" t="str">
        <f>VLOOKUP(Q6,Références!$A$2:$C$6,2,FALSE)</f>
        <v>-</v>
      </c>
    </row>
    <row r="8" spans="1:17" x14ac:dyDescent="0.45">
      <c r="A8" s="4"/>
      <c r="B8" s="7" t="s">
        <v>17</v>
      </c>
      <c r="C8" s="7" t="s">
        <v>18</v>
      </c>
      <c r="D8" s="4"/>
    </row>
    <row r="9" spans="1:17" x14ac:dyDescent="0.45">
      <c r="A9" s="37" t="s">
        <v>19</v>
      </c>
      <c r="B9" s="38">
        <v>45658</v>
      </c>
      <c r="C9" s="38">
        <v>45658</v>
      </c>
      <c r="D9" s="15" t="s">
        <v>20</v>
      </c>
      <c r="E9" s="39">
        <v>1820</v>
      </c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</row>
    <row r="10" spans="1:17" x14ac:dyDescent="0.45">
      <c r="A10" s="37" t="s">
        <v>21</v>
      </c>
      <c r="B10" s="38"/>
      <c r="C10" s="38"/>
      <c r="D10" s="15" t="s">
        <v>20</v>
      </c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</row>
    <row r="11" spans="1:17" x14ac:dyDescent="0.45">
      <c r="A11" s="37" t="s">
        <v>22</v>
      </c>
      <c r="B11" s="38"/>
      <c r="C11" s="38"/>
      <c r="D11" s="15" t="s">
        <v>20</v>
      </c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</row>
    <row r="12" spans="1:17" x14ac:dyDescent="0.45">
      <c r="A12" s="37" t="s">
        <v>23</v>
      </c>
      <c r="B12" s="38"/>
      <c r="C12" s="38"/>
      <c r="D12" s="15" t="s">
        <v>20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</row>
    <row r="13" spans="1:17" x14ac:dyDescent="0.45">
      <c r="A13" s="37" t="s">
        <v>24</v>
      </c>
      <c r="B13" s="38"/>
      <c r="C13" s="38"/>
      <c r="D13" s="15" t="s">
        <v>20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</row>
    <row r="14" spans="1:17" x14ac:dyDescent="0.45">
      <c r="A14" s="37" t="s">
        <v>25</v>
      </c>
      <c r="B14" s="38"/>
      <c r="C14" s="38"/>
      <c r="D14" s="15" t="s">
        <v>20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</row>
    <row r="15" spans="1:17" x14ac:dyDescent="0.45">
      <c r="A15" s="37" t="s">
        <v>26</v>
      </c>
      <c r="B15" s="38"/>
      <c r="C15" s="38"/>
      <c r="D15" s="15" t="s">
        <v>20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1:17" x14ac:dyDescent="0.45">
      <c r="A16" s="37" t="s">
        <v>27</v>
      </c>
      <c r="B16" s="38"/>
      <c r="C16" s="38"/>
      <c r="D16" s="15" t="s">
        <v>20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</row>
    <row r="17" spans="1:20" x14ac:dyDescent="0.45">
      <c r="A17" s="37" t="s">
        <v>28</v>
      </c>
      <c r="B17" s="38"/>
      <c r="C17" s="38"/>
      <c r="D17" s="15" t="s">
        <v>20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</row>
    <row r="18" spans="1:20" x14ac:dyDescent="0.45">
      <c r="A18" s="37" t="s">
        <v>29</v>
      </c>
      <c r="B18" s="38"/>
      <c r="C18" s="38"/>
      <c r="D18" s="15" t="s">
        <v>20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</row>
    <row r="19" spans="1:20" x14ac:dyDescent="0.45">
      <c r="A19" s="37" t="s">
        <v>30</v>
      </c>
      <c r="B19" s="38"/>
      <c r="C19" s="38"/>
      <c r="D19" s="15" t="s">
        <v>20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</row>
    <row r="20" spans="1:20" x14ac:dyDescent="0.45">
      <c r="A20" s="37" t="s">
        <v>31</v>
      </c>
      <c r="B20" s="38"/>
      <c r="C20" s="38"/>
      <c r="D20" s="15" t="s">
        <v>20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</row>
    <row r="21" spans="1:20" x14ac:dyDescent="0.45">
      <c r="A21" s="37" t="s">
        <v>32</v>
      </c>
      <c r="B21" s="38"/>
      <c r="C21" s="38"/>
      <c r="D21" s="15" t="s">
        <v>20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1:20" x14ac:dyDescent="0.45">
      <c r="A22" s="37" t="s">
        <v>33</v>
      </c>
      <c r="B22" s="38"/>
      <c r="C22" s="38"/>
      <c r="D22" s="15" t="s">
        <v>20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</row>
    <row r="23" spans="1:20" x14ac:dyDescent="0.45">
      <c r="A23" s="37" t="s">
        <v>34</v>
      </c>
      <c r="B23" s="38"/>
      <c r="C23" s="38"/>
      <c r="D23" s="15" t="s">
        <v>20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</row>
    <row r="25" spans="1:20" x14ac:dyDescent="0.45">
      <c r="A25" s="58" t="s">
        <v>35</v>
      </c>
      <c r="B25" s="59"/>
      <c r="C25" s="60"/>
      <c r="D25" s="55" t="s">
        <v>36</v>
      </c>
      <c r="E25" s="56"/>
      <c r="F25" s="56"/>
      <c r="G25" s="56"/>
      <c r="H25" s="57"/>
    </row>
    <row r="26" spans="1:20" s="14" customFormat="1" ht="32.450000000000003" customHeight="1" x14ac:dyDescent="0.45">
      <c r="A26" s="64"/>
      <c r="B26" s="65"/>
      <c r="C26" s="66"/>
      <c r="D26" s="30"/>
      <c r="E26" s="13" t="s">
        <v>37</v>
      </c>
      <c r="F26" s="13" t="s">
        <v>38</v>
      </c>
      <c r="G26" s="13" t="s">
        <v>39</v>
      </c>
      <c r="H26" s="13" t="s">
        <v>40</v>
      </c>
      <c r="R26" s="48"/>
      <c r="S26" s="48"/>
      <c r="T26" s="48"/>
    </row>
    <row r="27" spans="1:20" x14ac:dyDescent="0.45">
      <c r="B27" s="7" t="s">
        <v>17</v>
      </c>
      <c r="C27" s="7" t="s">
        <v>18</v>
      </c>
    </row>
    <row r="28" spans="1:20" x14ac:dyDescent="0.45">
      <c r="A28" s="37" t="s">
        <v>41</v>
      </c>
      <c r="B28" s="38">
        <v>45658</v>
      </c>
      <c r="C28" s="38">
        <v>45658</v>
      </c>
      <c r="D28" s="15" t="s">
        <v>42</v>
      </c>
      <c r="E28" s="41">
        <v>500000</v>
      </c>
      <c r="F28" s="41"/>
      <c r="G28" s="41"/>
      <c r="H28" s="49"/>
    </row>
    <row r="29" spans="1:20" x14ac:dyDescent="0.45">
      <c r="A29" s="37" t="s">
        <v>43</v>
      </c>
      <c r="B29" s="38"/>
      <c r="C29" s="38"/>
      <c r="D29" s="15" t="s">
        <v>42</v>
      </c>
      <c r="E29" s="41"/>
      <c r="F29" s="41"/>
      <c r="G29" s="41"/>
      <c r="H29" s="49"/>
    </row>
    <row r="30" spans="1:20" x14ac:dyDescent="0.45">
      <c r="A30" s="37" t="s">
        <v>44</v>
      </c>
      <c r="B30" s="38"/>
      <c r="C30" s="38"/>
      <c r="D30" s="15" t="s">
        <v>42</v>
      </c>
      <c r="E30" s="41"/>
      <c r="F30" s="41"/>
      <c r="G30" s="41"/>
      <c r="H30" s="49"/>
    </row>
    <row r="31" spans="1:20" x14ac:dyDescent="0.45">
      <c r="A31" s="5" t="s">
        <v>45</v>
      </c>
      <c r="B31" s="38"/>
      <c r="C31" s="38"/>
      <c r="D31" s="15" t="s">
        <v>46</v>
      </c>
      <c r="E31" s="51"/>
      <c r="F31" s="51"/>
      <c r="G31" s="51"/>
      <c r="H31" s="42">
        <v>0</v>
      </c>
    </row>
    <row r="33" spans="1:17" x14ac:dyDescent="0.4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</row>
    <row r="35" spans="1:17" ht="35.450000000000003" customHeight="1" x14ac:dyDescent="0.45">
      <c r="A35" s="67" t="s">
        <v>47</v>
      </c>
      <c r="B35" s="68"/>
      <c r="C35" s="68"/>
      <c r="D35" s="69"/>
    </row>
    <row r="37" spans="1:17" x14ac:dyDescent="0.45">
      <c r="A37" s="52" t="s">
        <v>48</v>
      </c>
      <c r="B37" s="53"/>
      <c r="C37" s="53"/>
      <c r="D37" s="54"/>
    </row>
    <row r="39" spans="1:17" x14ac:dyDescent="0.45">
      <c r="A39" s="11" t="s">
        <v>49</v>
      </c>
      <c r="B39" s="11" t="s">
        <v>17</v>
      </c>
      <c r="C39" s="11" t="s">
        <v>18</v>
      </c>
      <c r="D39" s="11" t="s">
        <v>50</v>
      </c>
    </row>
    <row r="40" spans="1:17" x14ac:dyDescent="0.45">
      <c r="A40" s="9" t="str">
        <f t="shared" ref="A40:C54" si="0">IF(A9="","",A9)</f>
        <v>Gestion de projet</v>
      </c>
      <c r="B40" s="10">
        <f t="shared" si="0"/>
        <v>45658</v>
      </c>
      <c r="C40" s="10">
        <f t="shared" si="0"/>
        <v>45658</v>
      </c>
      <c r="D40" s="33">
        <f t="shared" ref="D40:D54" si="1">SUM(E9:Q9)</f>
        <v>1820</v>
      </c>
    </row>
    <row r="41" spans="1:17" x14ac:dyDescent="0.45">
      <c r="A41" s="9" t="str">
        <f t="shared" si="0"/>
        <v>Activité / Livrable 1</v>
      </c>
      <c r="B41" s="10" t="str">
        <f t="shared" si="0"/>
        <v/>
      </c>
      <c r="C41" s="10" t="str">
        <f t="shared" si="0"/>
        <v/>
      </c>
      <c r="D41" s="33">
        <f t="shared" si="1"/>
        <v>0</v>
      </c>
    </row>
    <row r="42" spans="1:17" x14ac:dyDescent="0.45">
      <c r="A42" s="9" t="str">
        <f t="shared" si="0"/>
        <v>Activité / Livrable 2</v>
      </c>
      <c r="B42" s="10" t="str">
        <f t="shared" si="0"/>
        <v/>
      </c>
      <c r="C42" s="10" t="str">
        <f t="shared" si="0"/>
        <v/>
      </c>
      <c r="D42" s="33">
        <f t="shared" si="1"/>
        <v>0</v>
      </c>
    </row>
    <row r="43" spans="1:17" x14ac:dyDescent="0.45">
      <c r="A43" s="9" t="str">
        <f t="shared" si="0"/>
        <v>Activité / Livrable 3</v>
      </c>
      <c r="B43" s="10" t="str">
        <f t="shared" si="0"/>
        <v/>
      </c>
      <c r="C43" s="10" t="str">
        <f t="shared" si="0"/>
        <v/>
      </c>
      <c r="D43" s="33">
        <f t="shared" si="1"/>
        <v>0</v>
      </c>
    </row>
    <row r="44" spans="1:17" x14ac:dyDescent="0.45">
      <c r="A44" s="9" t="str">
        <f t="shared" si="0"/>
        <v>Activité / Livrable 4</v>
      </c>
      <c r="B44" s="10" t="str">
        <f t="shared" si="0"/>
        <v/>
      </c>
      <c r="C44" s="10" t="str">
        <f t="shared" si="0"/>
        <v/>
      </c>
      <c r="D44" s="33">
        <f t="shared" si="1"/>
        <v>0</v>
      </c>
    </row>
    <row r="45" spans="1:17" x14ac:dyDescent="0.45">
      <c r="A45" s="9" t="str">
        <f t="shared" si="0"/>
        <v>Activité / Livrable 5</v>
      </c>
      <c r="B45" s="10" t="str">
        <f t="shared" si="0"/>
        <v/>
      </c>
      <c r="C45" s="10" t="str">
        <f t="shared" si="0"/>
        <v/>
      </c>
      <c r="D45" s="33">
        <f t="shared" si="1"/>
        <v>0</v>
      </c>
    </row>
    <row r="46" spans="1:17" x14ac:dyDescent="0.45">
      <c r="A46" s="9" t="str">
        <f t="shared" si="0"/>
        <v>Activité / Livrable 6</v>
      </c>
      <c r="B46" s="10" t="str">
        <f t="shared" si="0"/>
        <v/>
      </c>
      <c r="C46" s="10" t="str">
        <f t="shared" si="0"/>
        <v/>
      </c>
      <c r="D46" s="33">
        <f t="shared" si="1"/>
        <v>0</v>
      </c>
    </row>
    <row r="47" spans="1:17" x14ac:dyDescent="0.45">
      <c r="A47" s="9" t="str">
        <f t="shared" si="0"/>
        <v>Activité / Livrable 7</v>
      </c>
      <c r="B47" s="10" t="str">
        <f t="shared" si="0"/>
        <v/>
      </c>
      <c r="C47" s="10" t="str">
        <f t="shared" si="0"/>
        <v/>
      </c>
      <c r="D47" s="33">
        <f t="shared" si="1"/>
        <v>0</v>
      </c>
    </row>
    <row r="48" spans="1:17" x14ac:dyDescent="0.45">
      <c r="A48" s="9" t="str">
        <f t="shared" si="0"/>
        <v>Activité / Livrable 8</v>
      </c>
      <c r="B48" s="10" t="str">
        <f t="shared" si="0"/>
        <v/>
      </c>
      <c r="C48" s="10" t="str">
        <f t="shared" si="0"/>
        <v/>
      </c>
      <c r="D48" s="33">
        <f t="shared" si="1"/>
        <v>0</v>
      </c>
    </row>
    <row r="49" spans="1:4" x14ac:dyDescent="0.45">
      <c r="A49" s="9" t="str">
        <f t="shared" si="0"/>
        <v>Activité / Livrable 9</v>
      </c>
      <c r="B49" s="10" t="str">
        <f t="shared" si="0"/>
        <v/>
      </c>
      <c r="C49" s="10" t="str">
        <f t="shared" si="0"/>
        <v/>
      </c>
      <c r="D49" s="33">
        <f t="shared" si="1"/>
        <v>0</v>
      </c>
    </row>
    <row r="50" spans="1:4" x14ac:dyDescent="0.45">
      <c r="A50" s="9" t="str">
        <f t="shared" si="0"/>
        <v>Activité / Livrable 10</v>
      </c>
      <c r="B50" s="10" t="str">
        <f t="shared" si="0"/>
        <v/>
      </c>
      <c r="C50" s="10" t="str">
        <f t="shared" si="0"/>
        <v/>
      </c>
      <c r="D50" s="33">
        <f t="shared" si="1"/>
        <v>0</v>
      </c>
    </row>
    <row r="51" spans="1:4" x14ac:dyDescent="0.45">
      <c r="A51" s="9" t="str">
        <f t="shared" si="0"/>
        <v>Activité / Livrable 11</v>
      </c>
      <c r="B51" s="10" t="str">
        <f t="shared" si="0"/>
        <v/>
      </c>
      <c r="C51" s="10" t="str">
        <f t="shared" si="0"/>
        <v/>
      </c>
      <c r="D51" s="33">
        <f t="shared" si="1"/>
        <v>0</v>
      </c>
    </row>
    <row r="52" spans="1:4" x14ac:dyDescent="0.45">
      <c r="A52" s="9" t="str">
        <f t="shared" si="0"/>
        <v>Activité / Livrable 12</v>
      </c>
      <c r="B52" s="10" t="str">
        <f t="shared" si="0"/>
        <v/>
      </c>
      <c r="C52" s="10" t="str">
        <f t="shared" si="0"/>
        <v/>
      </c>
      <c r="D52" s="33">
        <f t="shared" si="1"/>
        <v>0</v>
      </c>
    </row>
    <row r="53" spans="1:4" x14ac:dyDescent="0.45">
      <c r="A53" s="9" t="str">
        <f t="shared" si="0"/>
        <v>Activité / Livrable 13</v>
      </c>
      <c r="B53" s="10" t="str">
        <f t="shared" si="0"/>
        <v/>
      </c>
      <c r="C53" s="10" t="str">
        <f t="shared" si="0"/>
        <v/>
      </c>
      <c r="D53" s="33">
        <f t="shared" si="1"/>
        <v>0</v>
      </c>
    </row>
    <row r="54" spans="1:4" x14ac:dyDescent="0.45">
      <c r="A54" s="9" t="str">
        <f t="shared" si="0"/>
        <v>Activité / Livrable 14</v>
      </c>
      <c r="B54" s="10" t="str">
        <f t="shared" si="0"/>
        <v/>
      </c>
      <c r="C54" s="10" t="str">
        <f t="shared" si="0"/>
        <v/>
      </c>
      <c r="D54" s="33">
        <f t="shared" si="1"/>
        <v>0</v>
      </c>
    </row>
    <row r="55" spans="1:4" x14ac:dyDescent="0.45">
      <c r="A55" s="23" t="s">
        <v>51</v>
      </c>
      <c r="B55" s="24"/>
      <c r="C55" s="24"/>
      <c r="D55" s="43">
        <f>SUM(D40:D54)</f>
        <v>1820</v>
      </c>
    </row>
    <row r="58" spans="1:4" x14ac:dyDescent="0.45">
      <c r="A58" s="52" t="s">
        <v>52</v>
      </c>
      <c r="B58" s="53"/>
      <c r="C58" s="53"/>
      <c r="D58" s="54"/>
    </row>
    <row r="60" spans="1:4" x14ac:dyDescent="0.45">
      <c r="A60" s="11" t="s">
        <v>53</v>
      </c>
      <c r="B60" s="11" t="s">
        <v>54</v>
      </c>
      <c r="C60" s="11" t="s">
        <v>55</v>
      </c>
      <c r="D60" s="11" t="s">
        <v>56</v>
      </c>
    </row>
    <row r="61" spans="1:4" x14ac:dyDescent="0.45">
      <c r="A61" s="9" t="str">
        <f>IF(E5="Saisir nom","",E5)</f>
        <v>Walid ZEGAL</v>
      </c>
      <c r="B61" s="12">
        <f>SUM($E$9:$E$23)</f>
        <v>1820</v>
      </c>
      <c r="C61" s="44">
        <f>IFERROR(SUM(E$9:E$23)*E$7,"")</f>
        <v>413831.6</v>
      </c>
      <c r="D61" s="28"/>
    </row>
    <row r="62" spans="1:4" x14ac:dyDescent="0.45">
      <c r="A62" s="9" t="str">
        <f>IF(F5="Saisir nom","",F5)</f>
        <v/>
      </c>
      <c r="B62" s="12">
        <f>SUM($F$9:$F$23)</f>
        <v>0</v>
      </c>
      <c r="C62" s="44" t="str">
        <f>IFERROR(SUM(F$9:F$23)*F$7,"")</f>
        <v/>
      </c>
      <c r="D62" s="28"/>
    </row>
    <row r="63" spans="1:4" x14ac:dyDescent="0.45">
      <c r="A63" s="9" t="str">
        <f>IF(G5="Saisir nom","",G5)</f>
        <v/>
      </c>
      <c r="B63" s="12">
        <f>SUM($G$9:$G$23)</f>
        <v>0</v>
      </c>
      <c r="C63" s="44" t="str">
        <f>IFERROR(SUM(G$9:G$23)*G$7,"")</f>
        <v/>
      </c>
      <c r="D63" s="28"/>
    </row>
    <row r="64" spans="1:4" x14ac:dyDescent="0.45">
      <c r="A64" s="9" t="str">
        <f>IF(H5="Saisir nom","",H5)</f>
        <v/>
      </c>
      <c r="B64" s="12">
        <f>SUM($H$9:$H$23)</f>
        <v>0</v>
      </c>
      <c r="C64" s="44" t="str">
        <f>IFERROR(SUM(H$9:H$23)*H$7,"")</f>
        <v/>
      </c>
      <c r="D64" s="28"/>
    </row>
    <row r="65" spans="1:4" x14ac:dyDescent="0.45">
      <c r="A65" s="9" t="str">
        <f>IF(I5="Saisir nom","",I5)</f>
        <v/>
      </c>
      <c r="B65" s="12">
        <f>SUM($I$9:$I$23)</f>
        <v>0</v>
      </c>
      <c r="C65" s="44" t="str">
        <f>IFERROR(SUM(I$9:I$23)*I$7,"")</f>
        <v/>
      </c>
      <c r="D65" s="28"/>
    </row>
    <row r="66" spans="1:4" x14ac:dyDescent="0.45">
      <c r="A66" s="9" t="str">
        <f>IF(J5="Saisir nom","",J5)</f>
        <v/>
      </c>
      <c r="B66" s="12">
        <f>SUM($J$9:$J$23)</f>
        <v>0</v>
      </c>
      <c r="C66" s="44" t="str">
        <f>IFERROR(SUM(J$9:J$23)*J$7,"")</f>
        <v/>
      </c>
      <c r="D66" s="28"/>
    </row>
    <row r="67" spans="1:4" x14ac:dyDescent="0.45">
      <c r="A67" s="9" t="str">
        <f>IF(K5="Saisir nom","",K5)</f>
        <v/>
      </c>
      <c r="B67" s="12">
        <f>SUM($K$9:$K$23)</f>
        <v>0</v>
      </c>
      <c r="C67" s="44" t="str">
        <f>IFERROR(SUM(K$9:K$23)*K$7,"")</f>
        <v/>
      </c>
      <c r="D67" s="28"/>
    </row>
    <row r="68" spans="1:4" x14ac:dyDescent="0.45">
      <c r="A68" s="9" t="str">
        <f>IF(L5="Saisir nom","",L5)</f>
        <v/>
      </c>
      <c r="B68" s="12">
        <f>SUM($L$9:$L$23)</f>
        <v>0</v>
      </c>
      <c r="C68" s="44" t="str">
        <f>IFERROR(SUM(L$9:L$23)*L$7,"")</f>
        <v/>
      </c>
      <c r="D68" s="28"/>
    </row>
    <row r="69" spans="1:4" x14ac:dyDescent="0.45">
      <c r="A69" s="9" t="str">
        <f>IF(M5="Saisir nom","",M5)</f>
        <v/>
      </c>
      <c r="B69" s="12">
        <f>SUM($M$9:$M$23)</f>
        <v>0</v>
      </c>
      <c r="C69" s="44" t="str">
        <f>IFERROR(SUM(M$9:M$23)*M$7,"")</f>
        <v/>
      </c>
      <c r="D69" s="28"/>
    </row>
    <row r="70" spans="1:4" x14ac:dyDescent="0.45">
      <c r="A70" s="9" t="str">
        <f>IF(N5="Saisir nom","",N5)</f>
        <v/>
      </c>
      <c r="B70" s="12">
        <f>SUM($N$9:$N$23)</f>
        <v>0</v>
      </c>
      <c r="C70" s="44" t="str">
        <f>IFERROR(SUM(N$9:N$23)*N$7,"")</f>
        <v/>
      </c>
      <c r="D70" s="28"/>
    </row>
    <row r="71" spans="1:4" x14ac:dyDescent="0.45">
      <c r="A71" s="9" t="str">
        <f>IF(O5="Saisir nom","",O5)</f>
        <v/>
      </c>
      <c r="B71" s="12">
        <f>SUM($O$9:$O$23)</f>
        <v>0</v>
      </c>
      <c r="C71" s="44" t="str">
        <f>IFERROR(SUM(O$9:O$23)*O$7,"")</f>
        <v/>
      </c>
      <c r="D71" s="28"/>
    </row>
    <row r="72" spans="1:4" x14ac:dyDescent="0.45">
      <c r="A72" s="9" t="str">
        <f>IF(P5="Saisir nom","",P5)</f>
        <v/>
      </c>
      <c r="B72" s="12">
        <f>SUM($P$9:$P$23)</f>
        <v>0</v>
      </c>
      <c r="C72" s="44" t="str">
        <f>IFERROR(SUM(P$9:P$23)*P$7,"")</f>
        <v/>
      </c>
      <c r="D72" s="28"/>
    </row>
    <row r="73" spans="1:4" x14ac:dyDescent="0.45">
      <c r="A73" s="9" t="str">
        <f>IF(Q5="Saisir nom","",Q5)</f>
        <v/>
      </c>
      <c r="B73" s="12">
        <f>SUM($Q$9:$Q$23)</f>
        <v>0</v>
      </c>
      <c r="C73" s="44" t="str">
        <f>IFERROR(SUM(Q$9:Q$23)*Q$7,"")</f>
        <v/>
      </c>
      <c r="D73" s="28"/>
    </row>
    <row r="74" spans="1:4" x14ac:dyDescent="0.45">
      <c r="A74" s="17" t="s">
        <v>57</v>
      </c>
      <c r="B74" s="18">
        <f>SUM(B61:B73)</f>
        <v>1820</v>
      </c>
      <c r="C74" s="45">
        <f t="shared" ref="C74:D74" si="2">SUM(C61:C73)</f>
        <v>413831.6</v>
      </c>
      <c r="D74" s="20">
        <f t="shared" si="2"/>
        <v>0</v>
      </c>
    </row>
    <row r="75" spans="1:4" x14ac:dyDescent="0.45">
      <c r="A75" s="9" t="str">
        <f>IF(A28="","",A28)</f>
        <v>Achat / Service 1</v>
      </c>
      <c r="B75" s="16" t="s">
        <v>58</v>
      </c>
      <c r="C75" s="44">
        <f>SUM(E28:G28)</f>
        <v>500000</v>
      </c>
      <c r="D75" s="28"/>
    </row>
    <row r="76" spans="1:4" x14ac:dyDescent="0.45">
      <c r="A76" s="9" t="str">
        <f>IF(A29="","",A29)</f>
        <v>Achat / Service 2</v>
      </c>
      <c r="B76" s="16" t="s">
        <v>58</v>
      </c>
      <c r="C76" s="44">
        <f>SUM(E29:G29)</f>
        <v>0</v>
      </c>
      <c r="D76" s="28"/>
    </row>
    <row r="77" spans="1:4" x14ac:dyDescent="0.45">
      <c r="A77" s="9" t="str">
        <f>IF(A30="","",A30)</f>
        <v>Achat / Service 3</v>
      </c>
      <c r="B77" s="16" t="s">
        <v>58</v>
      </c>
      <c r="C77" s="44">
        <f>SUM(E30:G30)</f>
        <v>0</v>
      </c>
      <c r="D77" s="28"/>
    </row>
    <row r="78" spans="1:4" x14ac:dyDescent="0.45">
      <c r="A78" s="9" t="str">
        <f>IF(A31="","",A31)</f>
        <v>Contigence</v>
      </c>
      <c r="B78" s="16" t="s">
        <v>58</v>
      </c>
      <c r="C78" s="44">
        <f>C74*$H$31</f>
        <v>0</v>
      </c>
      <c r="D78" s="28"/>
    </row>
    <row r="79" spans="1:4" x14ac:dyDescent="0.45">
      <c r="A79" s="17" t="s">
        <v>59</v>
      </c>
      <c r="B79" s="18" t="s">
        <v>58</v>
      </c>
      <c r="C79" s="45">
        <f>SUM(C75:C78)</f>
        <v>500000</v>
      </c>
      <c r="D79" s="20">
        <f>SUM(D75:D78)</f>
        <v>0</v>
      </c>
    </row>
    <row r="80" spans="1:4" x14ac:dyDescent="0.45">
      <c r="A80" s="19" t="s">
        <v>51</v>
      </c>
      <c r="B80" s="21">
        <f>B74</f>
        <v>1820</v>
      </c>
      <c r="C80" s="46">
        <f>C74+C79</f>
        <v>913831.6</v>
      </c>
      <c r="D80" s="22">
        <f>D74+D79</f>
        <v>0</v>
      </c>
    </row>
    <row r="82" spans="1:1" x14ac:dyDescent="0.45">
      <c r="A82" s="36" t="s">
        <v>60</v>
      </c>
    </row>
  </sheetData>
  <sheetProtection password="EF37" sheet="1" objects="1" scenarios="1"/>
  <mergeCells count="7">
    <mergeCell ref="A58:D58"/>
    <mergeCell ref="D4:Q4"/>
    <mergeCell ref="D25:H25"/>
    <mergeCell ref="A4:C7"/>
    <mergeCell ref="A25:C26"/>
    <mergeCell ref="A35:D35"/>
    <mergeCell ref="A37:D37"/>
  </mergeCells>
  <phoneticPr fontId="3" type="noConversion"/>
  <dataValidations count="1">
    <dataValidation type="custom" allowBlank="1" showInputMessage="1" showErrorMessage="1" errorTitle="Date non-valide" error="La date entrée n'est pas valide. Vérifiez que : _x000a_- La date existe et corrigez au besoin (ex : 31 avril » 30 avril)_x000a_- Le format respecte AAAA-MM-JJ" sqref="B9:C23 B28:C31" xr:uid="{A8A3B0A0-6352-40DF-97A4-B007B8A01D64}">
      <formula1>AND(ISNUMBER(B9),B9=DATE(YEAR(B9),MONTH(B9),DAY(B9)))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7BF2BC-B020-4674-9E3E-A705F6B7D2DE}">
          <x14:formula1>
            <xm:f>Références!$A$2:$A$6</xm:f>
          </x14:formula1>
          <xm:sqref>E6:Q6</xm:sqref>
        </x14:dataValidation>
        <x14:dataValidation type="list" allowBlank="1" showInputMessage="1" showErrorMessage="1" xr:uid="{FCA4E19C-496F-456F-A2A1-362404C59165}">
          <x14:formula1>
            <xm:f>Références!$A$10:$A$14</xm:f>
          </x14:formula1>
          <xm:sqref>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FEA1-D43C-4AF8-B928-5EE9F63F2B33}">
  <sheetPr codeName="Feuil2"/>
  <dimension ref="A1:Q82"/>
  <sheetViews>
    <sheetView showGridLines="0" topLeftCell="A20" zoomScaleNormal="100" workbookViewId="0">
      <selection activeCell="B2" sqref="B2"/>
    </sheetView>
  </sheetViews>
  <sheetFormatPr baseColWidth="10" defaultColWidth="11.59765625" defaultRowHeight="14.25" x14ac:dyDescent="0.45"/>
  <cols>
    <col min="1" max="1" width="56.86328125" style="1" customWidth="1"/>
    <col min="2" max="3" width="15.73046875" style="1" customWidth="1"/>
    <col min="4" max="4" width="20.73046875" style="1" bestFit="1" customWidth="1"/>
    <col min="5" max="5" width="21.86328125" style="1" customWidth="1"/>
    <col min="6" max="17" width="17.1328125" style="1" customWidth="1"/>
    <col min="18" max="16384" width="11.59765625" style="1"/>
  </cols>
  <sheetData>
    <row r="1" spans="1:17" x14ac:dyDescent="0.45">
      <c r="A1" s="2" t="s">
        <v>8</v>
      </c>
      <c r="B1" s="8">
        <v>2026</v>
      </c>
      <c r="C1" s="3" t="s">
        <v>9</v>
      </c>
      <c r="D1" s="2"/>
    </row>
    <row r="2" spans="1:17" x14ac:dyDescent="0.45">
      <c r="A2" s="2" t="s">
        <v>10</v>
      </c>
      <c r="B2" s="31"/>
      <c r="C2" s="3"/>
      <c r="D2" s="2"/>
    </row>
    <row r="4" spans="1:17" x14ac:dyDescent="0.45">
      <c r="A4" s="58" t="s">
        <v>11</v>
      </c>
      <c r="B4" s="59"/>
      <c r="C4" s="60"/>
      <c r="D4" s="55" t="s">
        <v>61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7"/>
    </row>
    <row r="5" spans="1:17" ht="31.9" customHeight="1" x14ac:dyDescent="0.45">
      <c r="A5" s="61"/>
      <c r="B5" s="62"/>
      <c r="C5" s="63"/>
      <c r="D5" s="6" t="s">
        <v>13</v>
      </c>
      <c r="E5" s="40" t="s">
        <v>14</v>
      </c>
      <c r="F5" s="40" t="s">
        <v>14</v>
      </c>
      <c r="G5" s="40" t="s">
        <v>14</v>
      </c>
      <c r="H5" s="40" t="s">
        <v>14</v>
      </c>
      <c r="I5" s="40" t="s">
        <v>14</v>
      </c>
      <c r="J5" s="40" t="s">
        <v>14</v>
      </c>
      <c r="K5" s="40" t="s">
        <v>14</v>
      </c>
      <c r="L5" s="40" t="s">
        <v>14</v>
      </c>
      <c r="M5" s="40" t="s">
        <v>14</v>
      </c>
      <c r="N5" s="40" t="s">
        <v>14</v>
      </c>
      <c r="O5" s="40" t="s">
        <v>14</v>
      </c>
      <c r="P5" s="40" t="s">
        <v>14</v>
      </c>
      <c r="Q5" s="40" t="s">
        <v>14</v>
      </c>
    </row>
    <row r="6" spans="1:17" x14ac:dyDescent="0.45">
      <c r="A6" s="61"/>
      <c r="B6" s="62"/>
      <c r="C6" s="63"/>
      <c r="D6" s="6" t="s">
        <v>15</v>
      </c>
      <c r="E6" s="39" t="s">
        <v>16</v>
      </c>
      <c r="F6" s="39" t="s">
        <v>16</v>
      </c>
      <c r="G6" s="39" t="s">
        <v>16</v>
      </c>
      <c r="H6" s="39" t="s">
        <v>16</v>
      </c>
      <c r="I6" s="39" t="s">
        <v>16</v>
      </c>
      <c r="J6" s="39" t="s">
        <v>16</v>
      </c>
      <c r="K6" s="39" t="s">
        <v>16</v>
      </c>
      <c r="L6" s="39" t="s">
        <v>16</v>
      </c>
      <c r="M6" s="39" t="s">
        <v>16</v>
      </c>
      <c r="N6" s="39" t="s">
        <v>16</v>
      </c>
      <c r="O6" s="39" t="s">
        <v>16</v>
      </c>
      <c r="P6" s="39" t="s">
        <v>16</v>
      </c>
      <c r="Q6" s="39" t="s">
        <v>16</v>
      </c>
    </row>
    <row r="7" spans="1:17" x14ac:dyDescent="0.45">
      <c r="A7" s="64"/>
      <c r="B7" s="65"/>
      <c r="C7" s="66"/>
      <c r="D7" s="6" t="s">
        <v>8</v>
      </c>
      <c r="E7" s="29" t="str">
        <f>VLOOKUP(E6,Références!$A$2:$C$6,3,FALSE)</f>
        <v>-</v>
      </c>
      <c r="F7" s="29" t="str">
        <f>VLOOKUP(F6,Références!$A$2:$C$6,3,FALSE)</f>
        <v>-</v>
      </c>
      <c r="G7" s="29" t="str">
        <f>VLOOKUP(G6,Références!$A$2:$C$6,3,FALSE)</f>
        <v>-</v>
      </c>
      <c r="H7" s="29" t="str">
        <f>VLOOKUP(H6,Références!$A$2:$C$6,3,FALSE)</f>
        <v>-</v>
      </c>
      <c r="I7" s="29" t="str">
        <f>VLOOKUP(I6,Références!$A$2:$C$6,3,FALSE)</f>
        <v>-</v>
      </c>
      <c r="J7" s="29" t="str">
        <f>VLOOKUP(J6,Références!$A$2:$C$6,3,FALSE)</f>
        <v>-</v>
      </c>
      <c r="K7" s="29" t="str">
        <f>VLOOKUP(K6,Références!$A$2:$C$6,3,FALSE)</f>
        <v>-</v>
      </c>
      <c r="L7" s="29" t="str">
        <f>VLOOKUP(L6,Références!$A$2:$C$6,3,FALSE)</f>
        <v>-</v>
      </c>
      <c r="M7" s="29" t="str">
        <f>VLOOKUP(M6,Références!$A$2:$C$6,3,FALSE)</f>
        <v>-</v>
      </c>
      <c r="N7" s="29" t="str">
        <f>VLOOKUP(N6,Références!$A$2:$C$6,3,FALSE)</f>
        <v>-</v>
      </c>
      <c r="O7" s="29" t="str">
        <f>VLOOKUP(O6,Références!$A$2:$C$6,3,FALSE)</f>
        <v>-</v>
      </c>
      <c r="P7" s="29" t="str">
        <f>VLOOKUP(P6,Références!$A$2:$C$6,3,FALSE)</f>
        <v>-</v>
      </c>
      <c r="Q7" s="29" t="str">
        <f>VLOOKUP(Q6,Références!$A$2:$C$6,3,FALSE)</f>
        <v>-</v>
      </c>
    </row>
    <row r="8" spans="1:17" x14ac:dyDescent="0.45">
      <c r="A8" s="4"/>
      <c r="B8" s="7" t="s">
        <v>17</v>
      </c>
      <c r="C8" s="7" t="s">
        <v>18</v>
      </c>
      <c r="D8" s="4"/>
    </row>
    <row r="9" spans="1:17" x14ac:dyDescent="0.45">
      <c r="A9" s="37" t="s">
        <v>19</v>
      </c>
      <c r="B9" s="38">
        <v>45658</v>
      </c>
      <c r="C9" s="38">
        <v>45658</v>
      </c>
      <c r="D9" s="15" t="s">
        <v>62</v>
      </c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</row>
    <row r="10" spans="1:17" x14ac:dyDescent="0.45">
      <c r="A10" s="37" t="s">
        <v>21</v>
      </c>
      <c r="B10" s="38"/>
      <c r="C10" s="38"/>
      <c r="D10" s="15" t="s">
        <v>62</v>
      </c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</row>
    <row r="11" spans="1:17" x14ac:dyDescent="0.45">
      <c r="A11" s="37" t="s">
        <v>22</v>
      </c>
      <c r="B11" s="38"/>
      <c r="C11" s="38"/>
      <c r="D11" s="15" t="s">
        <v>62</v>
      </c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</row>
    <row r="12" spans="1:17" x14ac:dyDescent="0.45">
      <c r="A12" s="37" t="s">
        <v>23</v>
      </c>
      <c r="B12" s="38"/>
      <c r="C12" s="38"/>
      <c r="D12" s="15" t="s">
        <v>62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</row>
    <row r="13" spans="1:17" x14ac:dyDescent="0.45">
      <c r="A13" s="37" t="s">
        <v>24</v>
      </c>
      <c r="B13" s="38"/>
      <c r="C13" s="38"/>
      <c r="D13" s="15" t="s">
        <v>62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</row>
    <row r="14" spans="1:17" x14ac:dyDescent="0.45">
      <c r="A14" s="37" t="s">
        <v>25</v>
      </c>
      <c r="B14" s="38"/>
      <c r="C14" s="38"/>
      <c r="D14" s="15" t="s">
        <v>62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</row>
    <row r="15" spans="1:17" x14ac:dyDescent="0.45">
      <c r="A15" s="37" t="s">
        <v>26</v>
      </c>
      <c r="B15" s="38"/>
      <c r="C15" s="38"/>
      <c r="D15" s="15" t="s">
        <v>62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1:17" x14ac:dyDescent="0.45">
      <c r="A16" s="37" t="s">
        <v>27</v>
      </c>
      <c r="B16" s="38"/>
      <c r="C16" s="38"/>
      <c r="D16" s="15" t="s">
        <v>62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</row>
    <row r="17" spans="1:17" x14ac:dyDescent="0.45">
      <c r="A17" s="37" t="s">
        <v>28</v>
      </c>
      <c r="B17" s="38"/>
      <c r="C17" s="38"/>
      <c r="D17" s="15" t="s">
        <v>62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</row>
    <row r="18" spans="1:17" x14ac:dyDescent="0.45">
      <c r="A18" s="37" t="s">
        <v>29</v>
      </c>
      <c r="B18" s="38"/>
      <c r="C18" s="38"/>
      <c r="D18" s="15" t="s">
        <v>62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</row>
    <row r="19" spans="1:17" x14ac:dyDescent="0.45">
      <c r="A19" s="37" t="s">
        <v>30</v>
      </c>
      <c r="B19" s="38"/>
      <c r="C19" s="38"/>
      <c r="D19" s="15" t="s">
        <v>62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</row>
    <row r="20" spans="1:17" x14ac:dyDescent="0.45">
      <c r="A20" s="37" t="s">
        <v>31</v>
      </c>
      <c r="B20" s="38"/>
      <c r="C20" s="38"/>
      <c r="D20" s="15" t="s">
        <v>62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</row>
    <row r="21" spans="1:17" x14ac:dyDescent="0.45">
      <c r="A21" s="37" t="s">
        <v>32</v>
      </c>
      <c r="B21" s="38"/>
      <c r="C21" s="38"/>
      <c r="D21" s="15" t="s">
        <v>62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1:17" x14ac:dyDescent="0.45">
      <c r="A22" s="37" t="s">
        <v>33</v>
      </c>
      <c r="B22" s="38"/>
      <c r="C22" s="38"/>
      <c r="D22" s="15" t="s">
        <v>62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</row>
    <row r="23" spans="1:17" x14ac:dyDescent="0.45">
      <c r="A23" s="37" t="s">
        <v>34</v>
      </c>
      <c r="B23" s="38"/>
      <c r="C23" s="38"/>
      <c r="D23" s="15" t="s">
        <v>62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</row>
    <row r="25" spans="1:17" x14ac:dyDescent="0.45">
      <c r="A25" s="58" t="s">
        <v>35</v>
      </c>
      <c r="B25" s="59"/>
      <c r="C25" s="60"/>
      <c r="D25" s="55" t="s">
        <v>36</v>
      </c>
      <c r="E25" s="56"/>
      <c r="F25" s="56"/>
      <c r="G25" s="56"/>
      <c r="H25" s="57"/>
    </row>
    <row r="26" spans="1:17" s="14" customFormat="1" ht="32.450000000000003" customHeight="1" x14ac:dyDescent="0.45">
      <c r="A26" s="64"/>
      <c r="B26" s="65"/>
      <c r="C26" s="66"/>
      <c r="D26" s="30"/>
      <c r="E26" s="13" t="s">
        <v>37</v>
      </c>
      <c r="F26" s="13" t="s">
        <v>38</v>
      </c>
      <c r="G26" s="13" t="s">
        <v>39</v>
      </c>
      <c r="H26" s="13" t="s">
        <v>40</v>
      </c>
    </row>
    <row r="27" spans="1:17" x14ac:dyDescent="0.45">
      <c r="B27" s="7" t="s">
        <v>17</v>
      </c>
      <c r="C27" s="7" t="s">
        <v>18</v>
      </c>
    </row>
    <row r="28" spans="1:17" x14ac:dyDescent="0.45">
      <c r="A28" s="37" t="s">
        <v>41</v>
      </c>
      <c r="B28" s="38">
        <v>45658</v>
      </c>
      <c r="C28" s="38">
        <v>45658</v>
      </c>
      <c r="D28" s="15" t="s">
        <v>42</v>
      </c>
      <c r="E28" s="41"/>
      <c r="F28" s="41"/>
      <c r="G28" s="41"/>
      <c r="H28" s="49"/>
    </row>
    <row r="29" spans="1:17" x14ac:dyDescent="0.45">
      <c r="A29" s="37" t="s">
        <v>43</v>
      </c>
      <c r="B29" s="38"/>
      <c r="C29" s="38"/>
      <c r="D29" s="15" t="s">
        <v>42</v>
      </c>
      <c r="E29" s="41"/>
      <c r="F29" s="41"/>
      <c r="G29" s="41"/>
      <c r="H29" s="49"/>
    </row>
    <row r="30" spans="1:17" x14ac:dyDescent="0.45">
      <c r="A30" s="37" t="s">
        <v>44</v>
      </c>
      <c r="B30" s="38"/>
      <c r="C30" s="38"/>
      <c r="D30" s="15" t="s">
        <v>42</v>
      </c>
      <c r="E30" s="41"/>
      <c r="F30" s="41"/>
      <c r="G30" s="41"/>
      <c r="H30" s="49"/>
    </row>
    <row r="31" spans="1:17" x14ac:dyDescent="0.45">
      <c r="A31" s="5" t="s">
        <v>45</v>
      </c>
      <c r="B31" s="38"/>
      <c r="C31" s="38"/>
      <c r="D31" s="15" t="s">
        <v>46</v>
      </c>
      <c r="E31" s="51"/>
      <c r="F31" s="51"/>
      <c r="G31" s="51"/>
      <c r="H31" s="42">
        <v>0</v>
      </c>
    </row>
    <row r="33" spans="1:17" x14ac:dyDescent="0.4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</row>
    <row r="35" spans="1:17" ht="35.450000000000003" customHeight="1" x14ac:dyDescent="0.45">
      <c r="A35" s="67" t="s">
        <v>47</v>
      </c>
      <c r="B35" s="68"/>
      <c r="C35" s="68"/>
      <c r="D35" s="69"/>
    </row>
    <row r="37" spans="1:17" x14ac:dyDescent="0.45">
      <c r="A37" s="52" t="s">
        <v>48</v>
      </c>
      <c r="B37" s="53"/>
      <c r="C37" s="53"/>
      <c r="D37" s="54"/>
    </row>
    <row r="39" spans="1:17" x14ac:dyDescent="0.45">
      <c r="A39" s="11" t="s">
        <v>49</v>
      </c>
      <c r="B39" s="11" t="s">
        <v>17</v>
      </c>
      <c r="C39" s="11" t="s">
        <v>18</v>
      </c>
      <c r="D39" s="11" t="s">
        <v>50</v>
      </c>
    </row>
    <row r="40" spans="1:17" x14ac:dyDescent="0.45">
      <c r="A40" s="9" t="str">
        <f t="shared" ref="A40:C54" si="0">IF(A9="","",A9)</f>
        <v>Gestion de projet</v>
      </c>
      <c r="B40" s="10">
        <f t="shared" si="0"/>
        <v>45658</v>
      </c>
      <c r="C40" s="10">
        <f t="shared" si="0"/>
        <v>45658</v>
      </c>
      <c r="D40" s="33">
        <f t="shared" ref="D40:D54" si="1">SUM(E9:Q9)*7</f>
        <v>0</v>
      </c>
    </row>
    <row r="41" spans="1:17" x14ac:dyDescent="0.45">
      <c r="A41" s="9" t="str">
        <f t="shared" si="0"/>
        <v>Activité / Livrable 1</v>
      </c>
      <c r="B41" s="10" t="str">
        <f t="shared" si="0"/>
        <v/>
      </c>
      <c r="C41" s="10" t="str">
        <f t="shared" si="0"/>
        <v/>
      </c>
      <c r="D41" s="33">
        <f t="shared" si="1"/>
        <v>0</v>
      </c>
    </row>
    <row r="42" spans="1:17" x14ac:dyDescent="0.45">
      <c r="A42" s="9" t="str">
        <f t="shared" si="0"/>
        <v>Activité / Livrable 2</v>
      </c>
      <c r="B42" s="10" t="str">
        <f t="shared" si="0"/>
        <v/>
      </c>
      <c r="C42" s="10" t="str">
        <f t="shared" si="0"/>
        <v/>
      </c>
      <c r="D42" s="33">
        <f t="shared" si="1"/>
        <v>0</v>
      </c>
    </row>
    <row r="43" spans="1:17" x14ac:dyDescent="0.45">
      <c r="A43" s="9" t="str">
        <f t="shared" si="0"/>
        <v>Activité / Livrable 3</v>
      </c>
      <c r="B43" s="10" t="str">
        <f t="shared" si="0"/>
        <v/>
      </c>
      <c r="C43" s="10" t="str">
        <f t="shared" si="0"/>
        <v/>
      </c>
      <c r="D43" s="33">
        <f t="shared" si="1"/>
        <v>0</v>
      </c>
    </row>
    <row r="44" spans="1:17" x14ac:dyDescent="0.45">
      <c r="A44" s="9" t="str">
        <f t="shared" si="0"/>
        <v>Activité / Livrable 4</v>
      </c>
      <c r="B44" s="10" t="str">
        <f t="shared" si="0"/>
        <v/>
      </c>
      <c r="C44" s="10" t="str">
        <f t="shared" si="0"/>
        <v/>
      </c>
      <c r="D44" s="33">
        <f t="shared" si="1"/>
        <v>0</v>
      </c>
    </row>
    <row r="45" spans="1:17" x14ac:dyDescent="0.45">
      <c r="A45" s="9" t="str">
        <f t="shared" si="0"/>
        <v>Activité / Livrable 5</v>
      </c>
      <c r="B45" s="10" t="str">
        <f t="shared" si="0"/>
        <v/>
      </c>
      <c r="C45" s="10" t="str">
        <f t="shared" si="0"/>
        <v/>
      </c>
      <c r="D45" s="33">
        <f t="shared" si="1"/>
        <v>0</v>
      </c>
    </row>
    <row r="46" spans="1:17" x14ac:dyDescent="0.45">
      <c r="A46" s="9" t="str">
        <f t="shared" si="0"/>
        <v>Activité / Livrable 6</v>
      </c>
      <c r="B46" s="10" t="str">
        <f t="shared" si="0"/>
        <v/>
      </c>
      <c r="C46" s="10" t="str">
        <f t="shared" si="0"/>
        <v/>
      </c>
      <c r="D46" s="33">
        <f t="shared" si="1"/>
        <v>0</v>
      </c>
    </row>
    <row r="47" spans="1:17" x14ac:dyDescent="0.45">
      <c r="A47" s="9" t="str">
        <f t="shared" si="0"/>
        <v>Activité / Livrable 7</v>
      </c>
      <c r="B47" s="10" t="str">
        <f t="shared" si="0"/>
        <v/>
      </c>
      <c r="C47" s="10" t="str">
        <f t="shared" si="0"/>
        <v/>
      </c>
      <c r="D47" s="33">
        <f t="shared" si="1"/>
        <v>0</v>
      </c>
    </row>
    <row r="48" spans="1:17" x14ac:dyDescent="0.45">
      <c r="A48" s="9" t="str">
        <f t="shared" si="0"/>
        <v>Activité / Livrable 8</v>
      </c>
      <c r="B48" s="10" t="str">
        <f t="shared" si="0"/>
        <v/>
      </c>
      <c r="C48" s="10" t="str">
        <f t="shared" si="0"/>
        <v/>
      </c>
      <c r="D48" s="33">
        <f t="shared" si="1"/>
        <v>0</v>
      </c>
    </row>
    <row r="49" spans="1:4" x14ac:dyDescent="0.45">
      <c r="A49" s="9" t="str">
        <f t="shared" si="0"/>
        <v>Activité / Livrable 9</v>
      </c>
      <c r="B49" s="10" t="str">
        <f t="shared" si="0"/>
        <v/>
      </c>
      <c r="C49" s="10" t="str">
        <f t="shared" si="0"/>
        <v/>
      </c>
      <c r="D49" s="33">
        <f t="shared" si="1"/>
        <v>0</v>
      </c>
    </row>
    <row r="50" spans="1:4" x14ac:dyDescent="0.45">
      <c r="A50" s="9" t="str">
        <f t="shared" si="0"/>
        <v>Activité / Livrable 10</v>
      </c>
      <c r="B50" s="10" t="str">
        <f t="shared" si="0"/>
        <v/>
      </c>
      <c r="C50" s="10" t="str">
        <f t="shared" si="0"/>
        <v/>
      </c>
      <c r="D50" s="33">
        <f t="shared" si="1"/>
        <v>0</v>
      </c>
    </row>
    <row r="51" spans="1:4" x14ac:dyDescent="0.45">
      <c r="A51" s="9" t="str">
        <f t="shared" si="0"/>
        <v>Activité / Livrable 11</v>
      </c>
      <c r="B51" s="10" t="str">
        <f t="shared" si="0"/>
        <v/>
      </c>
      <c r="C51" s="10" t="str">
        <f t="shared" si="0"/>
        <v/>
      </c>
      <c r="D51" s="33">
        <f t="shared" si="1"/>
        <v>0</v>
      </c>
    </row>
    <row r="52" spans="1:4" x14ac:dyDescent="0.45">
      <c r="A52" s="9" t="str">
        <f t="shared" si="0"/>
        <v>Activité / Livrable 12</v>
      </c>
      <c r="B52" s="10" t="str">
        <f t="shared" si="0"/>
        <v/>
      </c>
      <c r="C52" s="10" t="str">
        <f t="shared" si="0"/>
        <v/>
      </c>
      <c r="D52" s="33">
        <f t="shared" si="1"/>
        <v>0</v>
      </c>
    </row>
    <row r="53" spans="1:4" x14ac:dyDescent="0.45">
      <c r="A53" s="9" t="str">
        <f t="shared" si="0"/>
        <v>Activité / Livrable 13</v>
      </c>
      <c r="B53" s="10" t="str">
        <f t="shared" si="0"/>
        <v/>
      </c>
      <c r="C53" s="10" t="str">
        <f t="shared" si="0"/>
        <v/>
      </c>
      <c r="D53" s="33">
        <f t="shared" si="1"/>
        <v>0</v>
      </c>
    </row>
    <row r="54" spans="1:4" x14ac:dyDescent="0.45">
      <c r="A54" s="9" t="str">
        <f t="shared" si="0"/>
        <v>Activité / Livrable 14</v>
      </c>
      <c r="B54" s="10" t="str">
        <f t="shared" si="0"/>
        <v/>
      </c>
      <c r="C54" s="10" t="str">
        <f t="shared" si="0"/>
        <v/>
      </c>
      <c r="D54" s="33">
        <f t="shared" si="1"/>
        <v>0</v>
      </c>
    </row>
    <row r="55" spans="1:4" x14ac:dyDescent="0.45">
      <c r="A55" s="23" t="s">
        <v>51</v>
      </c>
      <c r="B55" s="24"/>
      <c r="C55" s="24"/>
      <c r="D55" s="25">
        <f>SUM(D40:D54)</f>
        <v>0</v>
      </c>
    </row>
    <row r="58" spans="1:4" x14ac:dyDescent="0.45">
      <c r="A58" s="52" t="s">
        <v>52</v>
      </c>
      <c r="B58" s="53"/>
      <c r="C58" s="53"/>
      <c r="D58" s="54"/>
    </row>
    <row r="60" spans="1:4" x14ac:dyDescent="0.45">
      <c r="A60" s="11" t="s">
        <v>53</v>
      </c>
      <c r="B60" s="11" t="s">
        <v>54</v>
      </c>
      <c r="C60" s="11" t="s">
        <v>55</v>
      </c>
      <c r="D60" s="11" t="s">
        <v>56</v>
      </c>
    </row>
    <row r="61" spans="1:4" x14ac:dyDescent="0.45">
      <c r="A61" s="9" t="str">
        <f>IF(E5="Saisir nom","",E5)</f>
        <v/>
      </c>
      <c r="B61" s="12">
        <f>SUM($E$9:$E$23)*7</f>
        <v>0</v>
      </c>
      <c r="C61" s="44" t="str">
        <f>IFERROR(SUM(E$9:E$23)*E$7,"")</f>
        <v/>
      </c>
      <c r="D61" s="28"/>
    </row>
    <row r="62" spans="1:4" x14ac:dyDescent="0.45">
      <c r="A62" s="9" t="str">
        <f>IF(F5="Saisir nom","",F5)</f>
        <v/>
      </c>
      <c r="B62" s="12">
        <f>SUM($F$9:$F$23)*7</f>
        <v>0</v>
      </c>
      <c r="C62" s="44" t="str">
        <f>IFERROR(SUM(F$9:F$23)*F$7,"")</f>
        <v/>
      </c>
      <c r="D62" s="28"/>
    </row>
    <row r="63" spans="1:4" x14ac:dyDescent="0.45">
      <c r="A63" s="9" t="str">
        <f>IF(G5="Saisir nom","",G5)</f>
        <v/>
      </c>
      <c r="B63" s="12">
        <f>SUM($G$9:$G$23)*7</f>
        <v>0</v>
      </c>
      <c r="C63" s="44" t="str">
        <f>IFERROR(SUM(G$9:G$23)*G$7,"")</f>
        <v/>
      </c>
      <c r="D63" s="28"/>
    </row>
    <row r="64" spans="1:4" x14ac:dyDescent="0.45">
      <c r="A64" s="9" t="str">
        <f>IF(H5="Saisir nom","",H5)</f>
        <v/>
      </c>
      <c r="B64" s="12">
        <f>SUM($H$9:$H$23)*7</f>
        <v>0</v>
      </c>
      <c r="C64" s="44" t="str">
        <f>IFERROR(SUM(H$9:H$23)*H$7,"")</f>
        <v/>
      </c>
      <c r="D64" s="28"/>
    </row>
    <row r="65" spans="1:4" x14ac:dyDescent="0.45">
      <c r="A65" s="9" t="str">
        <f>IF(I5="Saisir nom","",I5)</f>
        <v/>
      </c>
      <c r="B65" s="12">
        <f>SUM($I$9:$I$23)*7</f>
        <v>0</v>
      </c>
      <c r="C65" s="44" t="str">
        <f>IFERROR(SUM(I$9:I$23)*I$7,"")</f>
        <v/>
      </c>
      <c r="D65" s="28"/>
    </row>
    <row r="66" spans="1:4" x14ac:dyDescent="0.45">
      <c r="A66" s="9" t="str">
        <f>IF(J5="Saisir nom","",J5)</f>
        <v/>
      </c>
      <c r="B66" s="12">
        <f>SUM($J$9:$J$23)*7</f>
        <v>0</v>
      </c>
      <c r="C66" s="44" t="str">
        <f>IFERROR(SUM(J$9:J$23)*J$7,"")</f>
        <v/>
      </c>
      <c r="D66" s="28"/>
    </row>
    <row r="67" spans="1:4" x14ac:dyDescent="0.45">
      <c r="A67" s="9" t="str">
        <f>IF(K5="Saisir nom","",K5)</f>
        <v/>
      </c>
      <c r="B67" s="12">
        <f>SUM($K$9:$K$23)*7</f>
        <v>0</v>
      </c>
      <c r="C67" s="44" t="str">
        <f>IFERROR(SUM(K$9:K$23)*K$7,"")</f>
        <v/>
      </c>
      <c r="D67" s="28"/>
    </row>
    <row r="68" spans="1:4" x14ac:dyDescent="0.45">
      <c r="A68" s="9" t="str">
        <f>IF(L5="Saisir nom","",L5)</f>
        <v/>
      </c>
      <c r="B68" s="12">
        <f>SUM($L$9:$L$23)*7</f>
        <v>0</v>
      </c>
      <c r="C68" s="44" t="str">
        <f>IFERROR(SUM(L$9:L$23)*L$7,"")</f>
        <v/>
      </c>
      <c r="D68" s="28"/>
    </row>
    <row r="69" spans="1:4" x14ac:dyDescent="0.45">
      <c r="A69" s="9" t="str">
        <f>IF(M5="Saisir nom","",M5)</f>
        <v/>
      </c>
      <c r="B69" s="12">
        <f>SUM($M$9:$M$23)*7</f>
        <v>0</v>
      </c>
      <c r="C69" s="44" t="str">
        <f>IFERROR(SUM(M$9:M$23)*M$7,"")</f>
        <v/>
      </c>
      <c r="D69" s="28"/>
    </row>
    <row r="70" spans="1:4" x14ac:dyDescent="0.45">
      <c r="A70" s="9" t="str">
        <f>IF(N5="Saisir nom","",N5)</f>
        <v/>
      </c>
      <c r="B70" s="12">
        <f>SUM($N$9:$N$23)*7</f>
        <v>0</v>
      </c>
      <c r="C70" s="44" t="str">
        <f>IFERROR(SUM(N$9:N$23)*N$7,"")</f>
        <v/>
      </c>
      <c r="D70" s="28"/>
    </row>
    <row r="71" spans="1:4" x14ac:dyDescent="0.45">
      <c r="A71" s="9" t="str">
        <f>IF(O5="Saisir nom","",O5)</f>
        <v/>
      </c>
      <c r="B71" s="12">
        <f>SUM($O$9:$O$23)*7</f>
        <v>0</v>
      </c>
      <c r="C71" s="44" t="str">
        <f>IFERROR(SUM(O$9:O$23)*O$7,"")</f>
        <v/>
      </c>
      <c r="D71" s="28"/>
    </row>
    <row r="72" spans="1:4" x14ac:dyDescent="0.45">
      <c r="A72" s="9" t="str">
        <f>IF(P5="Saisir nom","",P5)</f>
        <v/>
      </c>
      <c r="B72" s="12">
        <f>SUM($P$9:$P$23)*7</f>
        <v>0</v>
      </c>
      <c r="C72" s="44" t="str">
        <f>IFERROR(SUM(P$9:P$23)*P$7,"")</f>
        <v/>
      </c>
      <c r="D72" s="28"/>
    </row>
    <row r="73" spans="1:4" x14ac:dyDescent="0.45">
      <c r="A73" s="9" t="str">
        <f>IF(Q5="Saisir nom","",Q5)</f>
        <v/>
      </c>
      <c r="B73" s="12">
        <f>SUM($Q$9:$Q$23)*7</f>
        <v>0</v>
      </c>
      <c r="C73" s="44" t="str">
        <f>IFERROR(SUM(Q$9:Q$23)*Q$7,"")</f>
        <v/>
      </c>
      <c r="D73" s="28"/>
    </row>
    <row r="74" spans="1:4" x14ac:dyDescent="0.45">
      <c r="A74" s="17" t="s">
        <v>57</v>
      </c>
      <c r="B74" s="18">
        <f>SUM(B61:B73)</f>
        <v>0</v>
      </c>
      <c r="C74" s="45">
        <f t="shared" ref="C74:D74" si="2">SUM(C61:C73)</f>
        <v>0</v>
      </c>
      <c r="D74" s="20">
        <f t="shared" si="2"/>
        <v>0</v>
      </c>
    </row>
    <row r="75" spans="1:4" x14ac:dyDescent="0.45">
      <c r="A75" s="9" t="str">
        <f>IF(A28="","",A28)</f>
        <v>Achat / Service 1</v>
      </c>
      <c r="B75" s="16" t="s">
        <v>58</v>
      </c>
      <c r="C75" s="44">
        <f>SUM(E28:G28)</f>
        <v>0</v>
      </c>
      <c r="D75" s="28"/>
    </row>
    <row r="76" spans="1:4" x14ac:dyDescent="0.45">
      <c r="A76" s="9" t="str">
        <f>IF(A29="","",A29)</f>
        <v>Achat / Service 2</v>
      </c>
      <c r="B76" s="16" t="s">
        <v>58</v>
      </c>
      <c r="C76" s="44">
        <f t="shared" ref="C76:C77" si="3">SUM(E29:G29)</f>
        <v>0</v>
      </c>
      <c r="D76" s="28"/>
    </row>
    <row r="77" spans="1:4" x14ac:dyDescent="0.45">
      <c r="A77" s="9" t="str">
        <f>IF(A30="","",A30)</f>
        <v>Achat / Service 3</v>
      </c>
      <c r="B77" s="16" t="s">
        <v>58</v>
      </c>
      <c r="C77" s="44">
        <f t="shared" si="3"/>
        <v>0</v>
      </c>
      <c r="D77" s="28"/>
    </row>
    <row r="78" spans="1:4" x14ac:dyDescent="0.45">
      <c r="A78" s="9" t="str">
        <f>IF(A31="","",A31)</f>
        <v>Contigence</v>
      </c>
      <c r="B78" s="16" t="s">
        <v>58</v>
      </c>
      <c r="C78" s="44">
        <f>C74*$H$31</f>
        <v>0</v>
      </c>
      <c r="D78" s="28"/>
    </row>
    <row r="79" spans="1:4" x14ac:dyDescent="0.45">
      <c r="A79" s="17" t="s">
        <v>59</v>
      </c>
      <c r="B79" s="18" t="s">
        <v>58</v>
      </c>
      <c r="C79" s="45">
        <f>SUM(C75:C78)</f>
        <v>0</v>
      </c>
      <c r="D79" s="20">
        <f>SUM(D75:D78)</f>
        <v>0</v>
      </c>
    </row>
    <row r="80" spans="1:4" x14ac:dyDescent="0.45">
      <c r="A80" s="19" t="s">
        <v>51</v>
      </c>
      <c r="B80" s="21">
        <f>B74</f>
        <v>0</v>
      </c>
      <c r="C80" s="46">
        <f>C74+C79</f>
        <v>0</v>
      </c>
      <c r="D80" s="22">
        <f>D74+D79</f>
        <v>0</v>
      </c>
    </row>
    <row r="82" spans="1:1" x14ac:dyDescent="0.45">
      <c r="A82" s="36" t="s">
        <v>60</v>
      </c>
    </row>
  </sheetData>
  <sheetProtection password="EF37" sheet="1" objects="1" scenarios="1"/>
  <mergeCells count="7">
    <mergeCell ref="A58:D58"/>
    <mergeCell ref="A4:C7"/>
    <mergeCell ref="D4:Q4"/>
    <mergeCell ref="A25:C26"/>
    <mergeCell ref="D25:H25"/>
    <mergeCell ref="A35:D35"/>
    <mergeCell ref="A37:D37"/>
  </mergeCells>
  <dataValidations count="1">
    <dataValidation type="custom" allowBlank="1" showInputMessage="1" showErrorMessage="1" errorTitle="Date non-valide" error="La date entrée n'est pas valide. Vérifiez que : _x000a_- La date existe et corrigez au besoin (ex : 31 avril » 30 avril)_x000a_- Le format respecte AAAA-MM-JJ" sqref="B9:C23 B28:C31" xr:uid="{AC35D4C1-5938-4A4D-BFB8-823FFD156780}">
      <formula1>AND(ISNUMBER(B9),B9=DATE(YEAR(B9),MONTH(B9),DAY(B9)))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3FD013-4B35-4293-9FA7-1AA42AEFE5F9}">
          <x14:formula1>
            <xm:f>Références!$A$2:$A$6</xm:f>
          </x14:formula1>
          <xm:sqref>E6:Q6</xm:sqref>
        </x14:dataValidation>
        <x14:dataValidation type="list" allowBlank="1" showInputMessage="1" showErrorMessage="1" xr:uid="{B7490D1D-C3E6-4078-917F-82F0FAE57959}">
          <x14:formula1>
            <xm:f>Références!$A$10:$A$14</xm:f>
          </x14:formula1>
          <xm:sqref>H31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C3DD-4B1F-4C44-A704-4AD37D5400FE}">
  <sheetPr codeName="Feuil4">
    <tabColor theme="9" tint="0.59999389629810485"/>
  </sheetPr>
  <dimension ref="A1:T82"/>
  <sheetViews>
    <sheetView zoomScale="80" zoomScaleNormal="80" workbookViewId="0">
      <selection activeCell="G38" sqref="G38"/>
    </sheetView>
  </sheetViews>
  <sheetFormatPr baseColWidth="10" defaultColWidth="11.59765625" defaultRowHeight="14.25" x14ac:dyDescent="0.45"/>
  <cols>
    <col min="1" max="1" width="56.86328125" style="1" customWidth="1"/>
    <col min="2" max="3" width="15.73046875" style="1" customWidth="1"/>
    <col min="4" max="4" width="20.73046875" style="1" bestFit="1" customWidth="1"/>
    <col min="5" max="5" width="21.86328125" style="1" customWidth="1"/>
    <col min="6" max="17" width="17.1328125" style="1" customWidth="1"/>
    <col min="18" max="20" width="11.59765625" style="47"/>
    <col min="21" max="16384" width="11.59765625" style="1"/>
  </cols>
  <sheetData>
    <row r="1" spans="1:17" x14ac:dyDescent="0.45">
      <c r="A1" s="2" t="s">
        <v>8</v>
      </c>
      <c r="B1" s="8">
        <v>2025</v>
      </c>
      <c r="C1" s="3" t="s">
        <v>9</v>
      </c>
      <c r="D1" s="2"/>
    </row>
    <row r="2" spans="1:17" x14ac:dyDescent="0.45">
      <c r="A2" s="2" t="s">
        <v>10</v>
      </c>
      <c r="B2" s="31"/>
      <c r="C2" s="3"/>
      <c r="D2" s="2"/>
    </row>
    <row r="4" spans="1:17" x14ac:dyDescent="0.45">
      <c r="A4" s="58" t="s">
        <v>11</v>
      </c>
      <c r="B4" s="59"/>
      <c r="C4" s="60"/>
      <c r="D4" s="55" t="s">
        <v>12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7"/>
    </row>
    <row r="5" spans="1:17" ht="31.9" customHeight="1" x14ac:dyDescent="0.45">
      <c r="A5" s="61"/>
      <c r="B5" s="62"/>
      <c r="C5" s="63"/>
      <c r="D5" s="6" t="s">
        <v>13</v>
      </c>
      <c r="E5" s="40" t="s">
        <v>63</v>
      </c>
      <c r="F5" s="40" t="s">
        <v>64</v>
      </c>
      <c r="G5" s="40" t="s">
        <v>65</v>
      </c>
      <c r="H5" s="40" t="s">
        <v>14</v>
      </c>
      <c r="I5" s="40" t="s">
        <v>14</v>
      </c>
      <c r="J5" s="40" t="s">
        <v>14</v>
      </c>
      <c r="K5" s="40" t="s">
        <v>14</v>
      </c>
      <c r="L5" s="40" t="s">
        <v>14</v>
      </c>
      <c r="M5" s="40" t="s">
        <v>14</v>
      </c>
      <c r="N5" s="40" t="s">
        <v>14</v>
      </c>
      <c r="O5" s="40" t="s">
        <v>14</v>
      </c>
      <c r="P5" s="40" t="s">
        <v>14</v>
      </c>
      <c r="Q5" s="40" t="s">
        <v>14</v>
      </c>
    </row>
    <row r="6" spans="1:17" x14ac:dyDescent="0.45">
      <c r="A6" s="61"/>
      <c r="B6" s="62"/>
      <c r="C6" s="63"/>
      <c r="D6" s="6" t="s">
        <v>15</v>
      </c>
      <c r="E6" s="39" t="s">
        <v>66</v>
      </c>
      <c r="F6" s="39" t="s">
        <v>66</v>
      </c>
      <c r="G6" s="39" t="s">
        <v>67</v>
      </c>
      <c r="H6" s="39" t="s">
        <v>16</v>
      </c>
      <c r="I6" s="39" t="s">
        <v>16</v>
      </c>
      <c r="J6" s="39" t="s">
        <v>16</v>
      </c>
      <c r="K6" s="39" t="s">
        <v>16</v>
      </c>
      <c r="L6" s="39" t="s">
        <v>16</v>
      </c>
      <c r="M6" s="39" t="s">
        <v>16</v>
      </c>
      <c r="N6" s="39" t="s">
        <v>16</v>
      </c>
      <c r="O6" s="39" t="s">
        <v>16</v>
      </c>
      <c r="P6" s="39" t="s">
        <v>16</v>
      </c>
      <c r="Q6" s="39" t="s">
        <v>16</v>
      </c>
    </row>
    <row r="7" spans="1:17" x14ac:dyDescent="0.45">
      <c r="A7" s="64"/>
      <c r="B7" s="65"/>
      <c r="C7" s="66"/>
      <c r="D7" s="6" t="s">
        <v>8</v>
      </c>
      <c r="E7" s="29">
        <f>VLOOKUP(E6,Références!$A$2:$C$6,2,FALSE)</f>
        <v>227.38</v>
      </c>
      <c r="F7" s="29">
        <f>VLOOKUP(F6,Références!$A$2:$C$6,2,FALSE)</f>
        <v>227.38</v>
      </c>
      <c r="G7" s="29">
        <f>VLOOKUP(G6,Références!$A$2:$C$6,2,FALSE)</f>
        <v>184.05</v>
      </c>
      <c r="H7" s="29" t="str">
        <f>VLOOKUP(H6,Références!$A$2:$C$6,2,FALSE)</f>
        <v>-</v>
      </c>
      <c r="I7" s="29" t="str">
        <f>VLOOKUP(I6,Références!$A$2:$C$6,2,FALSE)</f>
        <v>-</v>
      </c>
      <c r="J7" s="29" t="str">
        <f>VLOOKUP(J6,Références!$A$2:$C$6,2,FALSE)</f>
        <v>-</v>
      </c>
      <c r="K7" s="29" t="str">
        <f>VLOOKUP(K6,Références!$A$2:$C$6,2,FALSE)</f>
        <v>-</v>
      </c>
      <c r="L7" s="29" t="str">
        <f>VLOOKUP(L6,Références!$A$2:$C$6,2,FALSE)</f>
        <v>-</v>
      </c>
      <c r="M7" s="29" t="str">
        <f>VLOOKUP(M6,Références!$A$2:$C$6,2,FALSE)</f>
        <v>-</v>
      </c>
      <c r="N7" s="29" t="str">
        <f>VLOOKUP(N6,Références!$A$2:$C$6,2,FALSE)</f>
        <v>-</v>
      </c>
      <c r="O7" s="29" t="str">
        <f>VLOOKUP(O6,Références!$A$2:$C$6,2,FALSE)</f>
        <v>-</v>
      </c>
      <c r="P7" s="29" t="str">
        <f>VLOOKUP(P6,Références!$A$2:$C$6,2,FALSE)</f>
        <v>-</v>
      </c>
      <c r="Q7" s="29" t="str">
        <f>VLOOKUP(Q6,Références!$A$2:$C$6,2,FALSE)</f>
        <v>-</v>
      </c>
    </row>
    <row r="8" spans="1:17" x14ac:dyDescent="0.45">
      <c r="A8" s="4"/>
      <c r="B8" s="7" t="s">
        <v>17</v>
      </c>
      <c r="C8" s="7" t="s">
        <v>18</v>
      </c>
      <c r="D8" s="4"/>
    </row>
    <row r="9" spans="1:17" x14ac:dyDescent="0.45">
      <c r="A9" s="37" t="s">
        <v>19</v>
      </c>
      <c r="B9" s="38">
        <v>45658</v>
      </c>
      <c r="C9" s="38">
        <v>45899</v>
      </c>
      <c r="D9" s="15" t="s">
        <v>20</v>
      </c>
      <c r="E9" s="39">
        <v>50</v>
      </c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</row>
    <row r="10" spans="1:17" x14ac:dyDescent="0.45">
      <c r="A10" s="37" t="s">
        <v>68</v>
      </c>
      <c r="B10" s="38">
        <v>45658</v>
      </c>
      <c r="C10" s="38">
        <v>45731</v>
      </c>
      <c r="D10" s="15" t="s">
        <v>20</v>
      </c>
      <c r="E10" s="39">
        <v>100</v>
      </c>
      <c r="F10" s="39">
        <v>75</v>
      </c>
      <c r="G10" s="39">
        <v>75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</row>
    <row r="11" spans="1:17" x14ac:dyDescent="0.45">
      <c r="A11" s="37" t="s">
        <v>69</v>
      </c>
      <c r="B11" s="38">
        <v>45731</v>
      </c>
      <c r="C11" s="38">
        <v>45838</v>
      </c>
      <c r="D11" s="15" t="s">
        <v>20</v>
      </c>
      <c r="E11" s="39">
        <v>30</v>
      </c>
      <c r="F11" s="39">
        <v>30</v>
      </c>
      <c r="G11" s="39">
        <v>150</v>
      </c>
      <c r="H11" s="39"/>
      <c r="I11" s="39"/>
      <c r="J11" s="39"/>
      <c r="K11" s="39"/>
      <c r="L11" s="39"/>
      <c r="M11" s="39"/>
      <c r="N11" s="39"/>
      <c r="O11" s="39"/>
      <c r="P11" s="39"/>
      <c r="Q11" s="39"/>
    </row>
    <row r="12" spans="1:17" x14ac:dyDescent="0.45">
      <c r="A12" s="37" t="s">
        <v>70</v>
      </c>
      <c r="B12" s="38">
        <v>45838</v>
      </c>
      <c r="C12" s="38">
        <v>45868</v>
      </c>
      <c r="D12" s="15" t="s">
        <v>20</v>
      </c>
      <c r="E12" s="39">
        <v>50</v>
      </c>
      <c r="F12" s="39">
        <v>50</v>
      </c>
      <c r="G12" s="39">
        <v>20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</row>
    <row r="13" spans="1:17" x14ac:dyDescent="0.45">
      <c r="A13" s="37" t="s">
        <v>71</v>
      </c>
      <c r="B13" s="38">
        <v>45868</v>
      </c>
      <c r="C13" s="38">
        <v>45899</v>
      </c>
      <c r="D13" s="15" t="s">
        <v>20</v>
      </c>
      <c r="E13" s="39">
        <v>35</v>
      </c>
      <c r="F13" s="39">
        <v>35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</row>
    <row r="14" spans="1:17" x14ac:dyDescent="0.45">
      <c r="A14" s="37" t="s">
        <v>25</v>
      </c>
      <c r="B14" s="38"/>
      <c r="C14" s="38"/>
      <c r="D14" s="15" t="s">
        <v>20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</row>
    <row r="15" spans="1:17" x14ac:dyDescent="0.45">
      <c r="A15" s="37" t="s">
        <v>26</v>
      </c>
      <c r="B15" s="38"/>
      <c r="C15" s="38"/>
      <c r="D15" s="15" t="s">
        <v>20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1:17" x14ac:dyDescent="0.45">
      <c r="A16" s="37" t="s">
        <v>27</v>
      </c>
      <c r="B16" s="38"/>
      <c r="C16" s="38"/>
      <c r="D16" s="15" t="s">
        <v>20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</row>
    <row r="17" spans="1:20" x14ac:dyDescent="0.45">
      <c r="A17" s="37" t="s">
        <v>28</v>
      </c>
      <c r="B17" s="38"/>
      <c r="C17" s="38"/>
      <c r="D17" s="15" t="s">
        <v>20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</row>
    <row r="18" spans="1:20" x14ac:dyDescent="0.45">
      <c r="A18" s="37" t="s">
        <v>29</v>
      </c>
      <c r="B18" s="38"/>
      <c r="C18" s="38"/>
      <c r="D18" s="15" t="s">
        <v>20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</row>
    <row r="19" spans="1:20" x14ac:dyDescent="0.45">
      <c r="A19" s="37" t="s">
        <v>30</v>
      </c>
      <c r="B19" s="38"/>
      <c r="C19" s="38"/>
      <c r="D19" s="15" t="s">
        <v>20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</row>
    <row r="20" spans="1:20" x14ac:dyDescent="0.45">
      <c r="A20" s="37" t="s">
        <v>31</v>
      </c>
      <c r="B20" s="38"/>
      <c r="C20" s="38"/>
      <c r="D20" s="15" t="s">
        <v>20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</row>
    <row r="21" spans="1:20" x14ac:dyDescent="0.45">
      <c r="A21" s="37" t="s">
        <v>32</v>
      </c>
      <c r="B21" s="38"/>
      <c r="C21" s="38"/>
      <c r="D21" s="15" t="s">
        <v>20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1:20" x14ac:dyDescent="0.45">
      <c r="A22" s="37" t="s">
        <v>33</v>
      </c>
      <c r="B22" s="38"/>
      <c r="C22" s="38"/>
      <c r="D22" s="15" t="s">
        <v>20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</row>
    <row r="23" spans="1:20" x14ac:dyDescent="0.45">
      <c r="A23" s="37" t="s">
        <v>34</v>
      </c>
      <c r="B23" s="38"/>
      <c r="C23" s="38"/>
      <c r="D23" s="15" t="s">
        <v>20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</row>
    <row r="25" spans="1:20" x14ac:dyDescent="0.45">
      <c r="A25" s="58" t="s">
        <v>35</v>
      </c>
      <c r="B25" s="59"/>
      <c r="C25" s="60"/>
      <c r="D25" s="55" t="s">
        <v>36</v>
      </c>
      <c r="E25" s="56"/>
      <c r="F25" s="56"/>
      <c r="G25" s="56"/>
      <c r="H25" s="57"/>
    </row>
    <row r="26" spans="1:20" s="14" customFormat="1" ht="32.450000000000003" customHeight="1" x14ac:dyDescent="0.45">
      <c r="A26" s="64"/>
      <c r="B26" s="65"/>
      <c r="C26" s="66"/>
      <c r="D26" s="30"/>
      <c r="E26" s="13" t="s">
        <v>37</v>
      </c>
      <c r="F26" s="13" t="s">
        <v>38</v>
      </c>
      <c r="G26" s="13" t="s">
        <v>39</v>
      </c>
      <c r="H26" s="13" t="s">
        <v>40</v>
      </c>
      <c r="R26" s="48"/>
      <c r="S26" s="48"/>
      <c r="T26" s="48"/>
    </row>
    <row r="27" spans="1:20" x14ac:dyDescent="0.45">
      <c r="B27" s="7" t="s">
        <v>17</v>
      </c>
      <c r="C27" s="7" t="s">
        <v>18</v>
      </c>
    </row>
    <row r="28" spans="1:20" x14ac:dyDescent="0.45">
      <c r="A28" s="37" t="s">
        <v>72</v>
      </c>
      <c r="B28" s="38">
        <v>45658</v>
      </c>
      <c r="C28" s="38">
        <v>45687</v>
      </c>
      <c r="D28" s="15" t="s">
        <v>42</v>
      </c>
      <c r="E28" s="41">
        <v>5000</v>
      </c>
      <c r="F28" s="41"/>
      <c r="G28" s="41"/>
      <c r="H28" s="49"/>
    </row>
    <row r="29" spans="1:20" x14ac:dyDescent="0.45">
      <c r="A29" s="37" t="s">
        <v>73</v>
      </c>
      <c r="B29" s="38">
        <v>45703</v>
      </c>
      <c r="C29" s="38">
        <v>45762</v>
      </c>
      <c r="D29" s="15" t="s">
        <v>42</v>
      </c>
      <c r="E29" s="41"/>
      <c r="F29" s="41"/>
      <c r="G29" s="41">
        <v>1500</v>
      </c>
      <c r="H29" s="49"/>
    </row>
    <row r="30" spans="1:20" x14ac:dyDescent="0.45">
      <c r="A30" s="37" t="s">
        <v>44</v>
      </c>
      <c r="B30" s="38"/>
      <c r="C30" s="38"/>
      <c r="D30" s="15" t="s">
        <v>42</v>
      </c>
      <c r="E30" s="41"/>
      <c r="F30" s="41"/>
      <c r="G30" s="41"/>
      <c r="H30" s="49"/>
    </row>
    <row r="31" spans="1:20" x14ac:dyDescent="0.45">
      <c r="A31" s="5" t="s">
        <v>45</v>
      </c>
      <c r="B31" s="38"/>
      <c r="C31" s="38"/>
      <c r="D31" s="15" t="s">
        <v>46</v>
      </c>
      <c r="E31" s="51"/>
      <c r="F31" s="51"/>
      <c r="G31" s="51"/>
      <c r="H31" s="42">
        <v>0.15</v>
      </c>
    </row>
    <row r="33" spans="1:17" x14ac:dyDescent="0.4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</row>
    <row r="35" spans="1:17" ht="35.450000000000003" customHeight="1" x14ac:dyDescent="0.45">
      <c r="A35" s="67" t="s">
        <v>47</v>
      </c>
      <c r="B35" s="68"/>
      <c r="C35" s="68"/>
      <c r="D35" s="69"/>
    </row>
    <row r="37" spans="1:17" x14ac:dyDescent="0.45">
      <c r="A37" s="52" t="s">
        <v>48</v>
      </c>
      <c r="B37" s="53"/>
      <c r="C37" s="53"/>
      <c r="D37" s="54"/>
    </row>
    <row r="39" spans="1:17" x14ac:dyDescent="0.45">
      <c r="A39" s="11" t="s">
        <v>49</v>
      </c>
      <c r="B39" s="11" t="s">
        <v>17</v>
      </c>
      <c r="C39" s="11" t="s">
        <v>18</v>
      </c>
      <c r="D39" s="11" t="s">
        <v>50</v>
      </c>
    </row>
    <row r="40" spans="1:17" x14ac:dyDescent="0.45">
      <c r="A40" s="9" t="str">
        <f t="shared" ref="A40:C54" si="0">IF(A9="","",A9)</f>
        <v>Gestion de projet</v>
      </c>
      <c r="B40" s="10">
        <f t="shared" si="0"/>
        <v>45658</v>
      </c>
      <c r="C40" s="10">
        <f t="shared" si="0"/>
        <v>45899</v>
      </c>
      <c r="D40" s="33">
        <f t="shared" ref="D40:D54" si="1">SUM(E9:Q9)</f>
        <v>50</v>
      </c>
    </row>
    <row r="41" spans="1:17" x14ac:dyDescent="0.45">
      <c r="A41" s="9" t="str">
        <f t="shared" si="0"/>
        <v>Préparation du banc d'essais</v>
      </c>
      <c r="B41" s="10">
        <f t="shared" si="0"/>
        <v>45658</v>
      </c>
      <c r="C41" s="10">
        <f t="shared" si="0"/>
        <v>45731</v>
      </c>
      <c r="D41" s="33">
        <f t="shared" si="1"/>
        <v>250</v>
      </c>
    </row>
    <row r="42" spans="1:17" x14ac:dyDescent="0.45">
      <c r="A42" s="9" t="str">
        <f t="shared" si="0"/>
        <v>Réalisation des essais</v>
      </c>
      <c r="B42" s="10">
        <f t="shared" si="0"/>
        <v>45731</v>
      </c>
      <c r="C42" s="10">
        <f t="shared" si="0"/>
        <v>45838</v>
      </c>
      <c r="D42" s="33">
        <f t="shared" si="1"/>
        <v>210</v>
      </c>
    </row>
    <row r="43" spans="1:17" x14ac:dyDescent="0.45">
      <c r="A43" s="9" t="str">
        <f t="shared" si="0"/>
        <v>Analyse des résultats</v>
      </c>
      <c r="B43" s="10">
        <f t="shared" si="0"/>
        <v>45838</v>
      </c>
      <c r="C43" s="10">
        <f t="shared" si="0"/>
        <v>45868</v>
      </c>
      <c r="D43" s="33">
        <f t="shared" si="1"/>
        <v>120</v>
      </c>
    </row>
    <row r="44" spans="1:17" x14ac:dyDescent="0.45">
      <c r="A44" s="9" t="str">
        <f t="shared" si="0"/>
        <v>Rédaction du rapport</v>
      </c>
      <c r="B44" s="10">
        <f t="shared" si="0"/>
        <v>45868</v>
      </c>
      <c r="C44" s="10">
        <f t="shared" si="0"/>
        <v>45899</v>
      </c>
      <c r="D44" s="33">
        <f t="shared" si="1"/>
        <v>70</v>
      </c>
    </row>
    <row r="45" spans="1:17" x14ac:dyDescent="0.45">
      <c r="A45" s="9" t="str">
        <f t="shared" si="0"/>
        <v>Activité / Livrable 5</v>
      </c>
      <c r="B45" s="10" t="str">
        <f t="shared" si="0"/>
        <v/>
      </c>
      <c r="C45" s="10" t="str">
        <f t="shared" si="0"/>
        <v/>
      </c>
      <c r="D45" s="33">
        <f t="shared" si="1"/>
        <v>0</v>
      </c>
    </row>
    <row r="46" spans="1:17" x14ac:dyDescent="0.45">
      <c r="A46" s="9" t="str">
        <f t="shared" si="0"/>
        <v>Activité / Livrable 6</v>
      </c>
      <c r="B46" s="10" t="str">
        <f t="shared" si="0"/>
        <v/>
      </c>
      <c r="C46" s="10" t="str">
        <f t="shared" si="0"/>
        <v/>
      </c>
      <c r="D46" s="33">
        <f t="shared" si="1"/>
        <v>0</v>
      </c>
    </row>
    <row r="47" spans="1:17" x14ac:dyDescent="0.45">
      <c r="A47" s="9" t="str">
        <f t="shared" si="0"/>
        <v>Activité / Livrable 7</v>
      </c>
      <c r="B47" s="10" t="str">
        <f t="shared" si="0"/>
        <v/>
      </c>
      <c r="C47" s="10" t="str">
        <f t="shared" si="0"/>
        <v/>
      </c>
      <c r="D47" s="33">
        <f t="shared" si="1"/>
        <v>0</v>
      </c>
    </row>
    <row r="48" spans="1:17" x14ac:dyDescent="0.45">
      <c r="A48" s="9" t="str">
        <f t="shared" si="0"/>
        <v>Activité / Livrable 8</v>
      </c>
      <c r="B48" s="10" t="str">
        <f t="shared" si="0"/>
        <v/>
      </c>
      <c r="C48" s="10" t="str">
        <f t="shared" si="0"/>
        <v/>
      </c>
      <c r="D48" s="33">
        <f t="shared" si="1"/>
        <v>0</v>
      </c>
    </row>
    <row r="49" spans="1:4" x14ac:dyDescent="0.45">
      <c r="A49" s="9" t="str">
        <f t="shared" si="0"/>
        <v>Activité / Livrable 9</v>
      </c>
      <c r="B49" s="10" t="str">
        <f t="shared" si="0"/>
        <v/>
      </c>
      <c r="C49" s="10" t="str">
        <f t="shared" si="0"/>
        <v/>
      </c>
      <c r="D49" s="33">
        <f t="shared" si="1"/>
        <v>0</v>
      </c>
    </row>
    <row r="50" spans="1:4" x14ac:dyDescent="0.45">
      <c r="A50" s="9" t="str">
        <f t="shared" si="0"/>
        <v>Activité / Livrable 10</v>
      </c>
      <c r="B50" s="10" t="str">
        <f t="shared" si="0"/>
        <v/>
      </c>
      <c r="C50" s="10" t="str">
        <f t="shared" si="0"/>
        <v/>
      </c>
      <c r="D50" s="33">
        <f t="shared" si="1"/>
        <v>0</v>
      </c>
    </row>
    <row r="51" spans="1:4" x14ac:dyDescent="0.45">
      <c r="A51" s="9" t="str">
        <f t="shared" si="0"/>
        <v>Activité / Livrable 11</v>
      </c>
      <c r="B51" s="10" t="str">
        <f t="shared" si="0"/>
        <v/>
      </c>
      <c r="C51" s="10" t="str">
        <f t="shared" si="0"/>
        <v/>
      </c>
      <c r="D51" s="33">
        <f t="shared" si="1"/>
        <v>0</v>
      </c>
    </row>
    <row r="52" spans="1:4" x14ac:dyDescent="0.45">
      <c r="A52" s="9" t="str">
        <f t="shared" si="0"/>
        <v>Activité / Livrable 12</v>
      </c>
      <c r="B52" s="10" t="str">
        <f t="shared" si="0"/>
        <v/>
      </c>
      <c r="C52" s="10" t="str">
        <f t="shared" si="0"/>
        <v/>
      </c>
      <c r="D52" s="33">
        <f t="shared" si="1"/>
        <v>0</v>
      </c>
    </row>
    <row r="53" spans="1:4" x14ac:dyDescent="0.45">
      <c r="A53" s="9" t="str">
        <f t="shared" si="0"/>
        <v>Activité / Livrable 13</v>
      </c>
      <c r="B53" s="10" t="str">
        <f t="shared" si="0"/>
        <v/>
      </c>
      <c r="C53" s="10" t="str">
        <f t="shared" si="0"/>
        <v/>
      </c>
      <c r="D53" s="33">
        <f t="shared" si="1"/>
        <v>0</v>
      </c>
    </row>
    <row r="54" spans="1:4" x14ac:dyDescent="0.45">
      <c r="A54" s="9" t="str">
        <f t="shared" si="0"/>
        <v>Activité / Livrable 14</v>
      </c>
      <c r="B54" s="10" t="str">
        <f t="shared" si="0"/>
        <v/>
      </c>
      <c r="C54" s="10" t="str">
        <f t="shared" si="0"/>
        <v/>
      </c>
      <c r="D54" s="33">
        <f t="shared" si="1"/>
        <v>0</v>
      </c>
    </row>
    <row r="55" spans="1:4" x14ac:dyDescent="0.45">
      <c r="A55" s="23" t="s">
        <v>51</v>
      </c>
      <c r="B55" s="24"/>
      <c r="C55" s="24"/>
      <c r="D55" s="43">
        <f>SUM(D40:D54)</f>
        <v>700</v>
      </c>
    </row>
    <row r="58" spans="1:4" x14ac:dyDescent="0.45">
      <c r="A58" s="52" t="s">
        <v>52</v>
      </c>
      <c r="B58" s="53"/>
      <c r="C58" s="53"/>
      <c r="D58" s="54"/>
    </row>
    <row r="60" spans="1:4" x14ac:dyDescent="0.45">
      <c r="A60" s="11" t="s">
        <v>53</v>
      </c>
      <c r="B60" s="11" t="s">
        <v>54</v>
      </c>
      <c r="C60" s="11" t="s">
        <v>55</v>
      </c>
      <c r="D60" s="11" t="s">
        <v>56</v>
      </c>
    </row>
    <row r="61" spans="1:4" x14ac:dyDescent="0.45">
      <c r="A61" s="9" t="str">
        <f>IF(E5="Saisir nom","",E5)</f>
        <v>Michel XY</v>
      </c>
      <c r="B61" s="12">
        <f>SUM($E$9:$E$23)</f>
        <v>265</v>
      </c>
      <c r="C61" s="44">
        <f>IFERROR(SUM(E$9:E$23)*E$7,"")</f>
        <v>60255.7</v>
      </c>
      <c r="D61" s="28"/>
    </row>
    <row r="62" spans="1:4" x14ac:dyDescent="0.45">
      <c r="A62" s="9" t="str">
        <f>IF(F5="Saisir nom","",F5)</f>
        <v>Isabelle XY</v>
      </c>
      <c r="B62" s="12">
        <f>SUM($F$9:$F$23)</f>
        <v>190</v>
      </c>
      <c r="C62" s="44">
        <f>IFERROR(SUM(F$9:F$23)*F$7,"")</f>
        <v>43202.2</v>
      </c>
      <c r="D62" s="28"/>
    </row>
    <row r="63" spans="1:4" x14ac:dyDescent="0.45">
      <c r="A63" s="9" t="str">
        <f>IF(G5="Saisir nom","",G5)</f>
        <v>François XY</v>
      </c>
      <c r="B63" s="12">
        <f>SUM($G$9:$G$23)</f>
        <v>245</v>
      </c>
      <c r="C63" s="44">
        <f>IFERROR(SUM(G$9:G$23)*G$7,"")</f>
        <v>45092.25</v>
      </c>
      <c r="D63" s="28"/>
    </row>
    <row r="64" spans="1:4" x14ac:dyDescent="0.45">
      <c r="A64" s="9" t="str">
        <f>IF(H5="Saisir nom","",H5)</f>
        <v/>
      </c>
      <c r="B64" s="12">
        <f>SUM($H$9:$H$23)</f>
        <v>0</v>
      </c>
      <c r="C64" s="44" t="str">
        <f>IFERROR(SUM(H$9:H$23)*H$7,"")</f>
        <v/>
      </c>
      <c r="D64" s="28"/>
    </row>
    <row r="65" spans="1:4" x14ac:dyDescent="0.45">
      <c r="A65" s="9" t="str">
        <f>IF(I5="Saisir nom","",I5)</f>
        <v/>
      </c>
      <c r="B65" s="12">
        <f>SUM($I$9:$I$23)</f>
        <v>0</v>
      </c>
      <c r="C65" s="44" t="str">
        <f>IFERROR(SUM(I$9:I$23)*I$7,"")</f>
        <v/>
      </c>
      <c r="D65" s="28"/>
    </row>
    <row r="66" spans="1:4" x14ac:dyDescent="0.45">
      <c r="A66" s="9" t="str">
        <f>IF(J5="Saisir nom","",J5)</f>
        <v/>
      </c>
      <c r="B66" s="12">
        <f>SUM($J$9:$J$23)</f>
        <v>0</v>
      </c>
      <c r="C66" s="44" t="str">
        <f>IFERROR(SUM(J$9:J$23)*J$7,"")</f>
        <v/>
      </c>
      <c r="D66" s="28"/>
    </row>
    <row r="67" spans="1:4" x14ac:dyDescent="0.45">
      <c r="A67" s="9" t="str">
        <f>IF(K5="Saisir nom","",K5)</f>
        <v/>
      </c>
      <c r="B67" s="12">
        <f>SUM($K$9:$K$23)</f>
        <v>0</v>
      </c>
      <c r="C67" s="44" t="str">
        <f>IFERROR(SUM(K$9:K$23)*K$7,"")</f>
        <v/>
      </c>
      <c r="D67" s="28"/>
    </row>
    <row r="68" spans="1:4" x14ac:dyDescent="0.45">
      <c r="A68" s="9" t="str">
        <f>IF(L5="Saisir nom","",L5)</f>
        <v/>
      </c>
      <c r="B68" s="12">
        <f>SUM($L$9:$L$23)</f>
        <v>0</v>
      </c>
      <c r="C68" s="44" t="str">
        <f>IFERROR(SUM(L$9:L$23)*L$7,"")</f>
        <v/>
      </c>
      <c r="D68" s="28"/>
    </row>
    <row r="69" spans="1:4" x14ac:dyDescent="0.45">
      <c r="A69" s="9" t="str">
        <f>IF(M5="Saisir nom","",M5)</f>
        <v/>
      </c>
      <c r="B69" s="12">
        <f>SUM($M$9:$M$23)</f>
        <v>0</v>
      </c>
      <c r="C69" s="44" t="str">
        <f>IFERROR(SUM(M$9:M$23)*M$7,"")</f>
        <v/>
      </c>
      <c r="D69" s="28"/>
    </row>
    <row r="70" spans="1:4" x14ac:dyDescent="0.45">
      <c r="A70" s="9" t="str">
        <f>IF(N5="Saisir nom","",N5)</f>
        <v/>
      </c>
      <c r="B70" s="12">
        <f>SUM($N$9:$N$23)</f>
        <v>0</v>
      </c>
      <c r="C70" s="44" t="str">
        <f>IFERROR(SUM(N$9:N$23)*N$7,"")</f>
        <v/>
      </c>
      <c r="D70" s="28"/>
    </row>
    <row r="71" spans="1:4" x14ac:dyDescent="0.45">
      <c r="A71" s="9" t="str">
        <f>IF(O5="Saisir nom","",O5)</f>
        <v/>
      </c>
      <c r="B71" s="12">
        <f>SUM($O$9:$O$23)</f>
        <v>0</v>
      </c>
      <c r="C71" s="44" t="str">
        <f>IFERROR(SUM(O$9:O$23)*O$7,"")</f>
        <v/>
      </c>
      <c r="D71" s="28"/>
    </row>
    <row r="72" spans="1:4" x14ac:dyDescent="0.45">
      <c r="A72" s="9" t="str">
        <f>IF(P5="Saisir nom","",P5)</f>
        <v/>
      </c>
      <c r="B72" s="12">
        <f>SUM($P$9:$P$23)</f>
        <v>0</v>
      </c>
      <c r="C72" s="44" t="str">
        <f>IFERROR(SUM(P$9:P$23)*P$7,"")</f>
        <v/>
      </c>
      <c r="D72" s="28"/>
    </row>
    <row r="73" spans="1:4" x14ac:dyDescent="0.45">
      <c r="A73" s="9" t="str">
        <f>IF(Q5="Saisir nom","",Q5)</f>
        <v/>
      </c>
      <c r="B73" s="12">
        <f>SUM($Q$9:$Q$23)</f>
        <v>0</v>
      </c>
      <c r="C73" s="44" t="str">
        <f>IFERROR(SUM(Q$9:Q$23)*Q$7,"")</f>
        <v/>
      </c>
      <c r="D73" s="28"/>
    </row>
    <row r="74" spans="1:4" x14ac:dyDescent="0.45">
      <c r="A74" s="17" t="s">
        <v>57</v>
      </c>
      <c r="B74" s="18">
        <f>SUM(B61:B73)</f>
        <v>700</v>
      </c>
      <c r="C74" s="45">
        <f t="shared" ref="C74:D74" si="2">SUM(C61:C73)</f>
        <v>148550.15</v>
      </c>
      <c r="D74" s="20">
        <f t="shared" si="2"/>
        <v>0</v>
      </c>
    </row>
    <row r="75" spans="1:4" x14ac:dyDescent="0.45">
      <c r="A75" s="9" t="str">
        <f>IF(A28="","",A28)</f>
        <v>Matériel pour banc d'essais</v>
      </c>
      <c r="B75" s="16" t="s">
        <v>58</v>
      </c>
      <c r="C75" s="44">
        <f>SUM(E28:G28)</f>
        <v>5000</v>
      </c>
      <c r="D75" s="28"/>
    </row>
    <row r="76" spans="1:4" x14ac:dyDescent="0.45">
      <c r="A76" s="9" t="str">
        <f>IF(A29="","",A29)</f>
        <v>Déplacements</v>
      </c>
      <c r="B76" s="16" t="s">
        <v>58</v>
      </c>
      <c r="C76" s="44">
        <f>SUM(E29:G29)</f>
        <v>1500</v>
      </c>
      <c r="D76" s="28"/>
    </row>
    <row r="77" spans="1:4" x14ac:dyDescent="0.45">
      <c r="A77" s="9" t="str">
        <f>IF(A30="","",A30)</f>
        <v>Achat / Service 3</v>
      </c>
      <c r="B77" s="16" t="s">
        <v>58</v>
      </c>
      <c r="C77" s="44">
        <f>SUM(E30:G30)</f>
        <v>0</v>
      </c>
      <c r="D77" s="28"/>
    </row>
    <row r="78" spans="1:4" x14ac:dyDescent="0.45">
      <c r="A78" s="9" t="str">
        <f>IF(A31="","",A31)</f>
        <v>Contigence</v>
      </c>
      <c r="B78" s="16" t="s">
        <v>58</v>
      </c>
      <c r="C78" s="44">
        <f>C74*$H$31</f>
        <v>22282.522499999999</v>
      </c>
      <c r="D78" s="28"/>
    </row>
    <row r="79" spans="1:4" x14ac:dyDescent="0.45">
      <c r="A79" s="17" t="s">
        <v>59</v>
      </c>
      <c r="B79" s="18" t="s">
        <v>58</v>
      </c>
      <c r="C79" s="45">
        <f>SUM(C75:C78)</f>
        <v>28782.522499999999</v>
      </c>
      <c r="D79" s="20">
        <f>SUM(D75:D78)</f>
        <v>0</v>
      </c>
    </row>
    <row r="80" spans="1:4" x14ac:dyDescent="0.45">
      <c r="A80" s="19" t="s">
        <v>51</v>
      </c>
      <c r="B80" s="21">
        <f>B74</f>
        <v>700</v>
      </c>
      <c r="C80" s="46">
        <f>C74+C79</f>
        <v>177332.67249999999</v>
      </c>
      <c r="D80" s="22">
        <f>D74+D79</f>
        <v>0</v>
      </c>
    </row>
    <row r="82" spans="1:1" x14ac:dyDescent="0.45">
      <c r="A82" s="36" t="s">
        <v>60</v>
      </c>
    </row>
  </sheetData>
  <sheetProtection password="EF37" sheet="1" objects="1" scenarios="1"/>
  <mergeCells count="7">
    <mergeCell ref="A58:D58"/>
    <mergeCell ref="A4:C7"/>
    <mergeCell ref="D4:Q4"/>
    <mergeCell ref="A25:C26"/>
    <mergeCell ref="D25:H25"/>
    <mergeCell ref="A35:D35"/>
    <mergeCell ref="A37:D37"/>
  </mergeCells>
  <dataValidations count="1">
    <dataValidation type="custom" allowBlank="1" showInputMessage="1" showErrorMessage="1" errorTitle="Date non-valide" error="La date entrée n'est pas valide. Vérifiez que : _x000a_- La date existe et corrigez au besoin (ex : 31 avril » 30 avril)_x000a_- Le format respecte AAAA-MM-JJ" sqref="B9:C23 B28:C31" xr:uid="{E6A9D0A8-DEDF-42BA-AC03-9BFD1DB030D4}">
      <formula1>AND(ISNUMBER(B9),B9=DATE(YEAR(B9),MONTH(B9),DAY(B9)))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8BF95F-CD33-4CEE-80FF-C2019CF27B0B}">
          <x14:formula1>
            <xm:f>Références!$A$10:$A$14</xm:f>
          </x14:formula1>
          <xm:sqref>H31</xm:sqref>
        </x14:dataValidation>
        <x14:dataValidation type="list" allowBlank="1" showInputMessage="1" showErrorMessage="1" xr:uid="{234B5D36-129D-4F16-9557-93782B631920}">
          <x14:formula1>
            <xm:f>Références!$A$2:$A$6</xm:f>
          </x14:formula1>
          <xm:sqref>E6:Q6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3437-26A1-4A14-80D9-082A13C1C41F}">
  <sheetPr codeName="Feuil3"/>
  <dimension ref="A1:C14"/>
  <sheetViews>
    <sheetView workbookViewId="0">
      <selection activeCell="B6" sqref="B6"/>
    </sheetView>
  </sheetViews>
  <sheetFormatPr baseColWidth="10" defaultColWidth="11.3984375" defaultRowHeight="14.25" x14ac:dyDescent="0.45"/>
  <cols>
    <col min="1" max="1" width="13.3984375" bestFit="1" customWidth="1"/>
  </cols>
  <sheetData>
    <row r="1" spans="1:3" x14ac:dyDescent="0.45">
      <c r="A1" t="s">
        <v>74</v>
      </c>
      <c r="B1" t="s">
        <v>75</v>
      </c>
      <c r="C1" t="s">
        <v>76</v>
      </c>
    </row>
    <row r="2" spans="1:3" x14ac:dyDescent="0.45">
      <c r="A2" t="s">
        <v>16</v>
      </c>
      <c r="B2" s="34" t="s">
        <v>77</v>
      </c>
      <c r="C2" s="34" t="s">
        <v>77</v>
      </c>
    </row>
    <row r="3" spans="1:3" x14ac:dyDescent="0.45">
      <c r="A3" t="s">
        <v>66</v>
      </c>
      <c r="B3" s="26">
        <v>227.38</v>
      </c>
      <c r="C3" s="35">
        <f>B3*7</f>
        <v>1591.6599999999999</v>
      </c>
    </row>
    <row r="4" spans="1:3" x14ac:dyDescent="0.45">
      <c r="A4" t="s">
        <v>78</v>
      </c>
      <c r="B4" s="26">
        <v>203.41</v>
      </c>
      <c r="C4" s="35">
        <f t="shared" ref="C4:C6" si="0">B4*7</f>
        <v>1423.87</v>
      </c>
    </row>
    <row r="5" spans="1:3" x14ac:dyDescent="0.45">
      <c r="A5" t="s">
        <v>67</v>
      </c>
      <c r="B5" s="26">
        <v>184.05</v>
      </c>
      <c r="C5" s="35">
        <f t="shared" si="0"/>
        <v>1288.3500000000001</v>
      </c>
    </row>
    <row r="6" spans="1:3" x14ac:dyDescent="0.45">
      <c r="A6" t="s">
        <v>79</v>
      </c>
      <c r="B6" s="26">
        <v>106.94</v>
      </c>
      <c r="C6" s="35">
        <f t="shared" si="0"/>
        <v>748.57999999999993</v>
      </c>
    </row>
    <row r="9" spans="1:3" x14ac:dyDescent="0.45">
      <c r="A9" t="s">
        <v>40</v>
      </c>
    </row>
    <row r="10" spans="1:3" x14ac:dyDescent="0.45">
      <c r="A10" s="27">
        <v>0</v>
      </c>
    </row>
    <row r="11" spans="1:3" x14ac:dyDescent="0.45">
      <c r="A11" s="27">
        <v>0.05</v>
      </c>
    </row>
    <row r="12" spans="1:3" x14ac:dyDescent="0.45">
      <c r="A12" s="27">
        <v>0.1</v>
      </c>
    </row>
    <row r="13" spans="1:3" x14ac:dyDescent="0.45">
      <c r="A13" s="27">
        <v>0.15</v>
      </c>
    </row>
    <row r="14" spans="1:3" x14ac:dyDescent="0.45">
      <c r="A14" s="27">
        <v>0.2</v>
      </c>
    </row>
  </sheetData>
  <sheetProtection password="EF37" sheet="1" objects="1" scenarios="1"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82745DF43EB149856A2040FDA2753E" ma:contentTypeVersion="6" ma:contentTypeDescription="Crée un document." ma:contentTypeScope="" ma:versionID="7b2f090aaba930bb5ade8c6e52335e21">
  <xsd:schema xmlns:xsd="http://www.w3.org/2001/XMLSchema" xmlns:xs="http://www.w3.org/2001/XMLSchema" xmlns:p="http://schemas.microsoft.com/office/2006/metadata/properties" xmlns:ns2="8e3c047e-8c31-431b-a7b1-58ab116f0823" xmlns:ns3="5c5d9a91-44a3-4684-93a2-b52d9d3f5708" targetNamespace="http://schemas.microsoft.com/office/2006/metadata/properties" ma:root="true" ma:fieldsID="391d9a5cfdaf413ad53b108c4756d863" ns2:_="" ns3:_="">
    <xsd:import namespace="8e3c047e-8c31-431b-a7b1-58ab116f0823"/>
    <xsd:import namespace="5c5d9a91-44a3-4684-93a2-b52d9d3f57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3c047e-8c31-431b-a7b1-58ab116f08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5d9a91-44a3-4684-93a2-b52d9d3f57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_dlc_DocId" ma:index="14" nillable="true" ma:displayName="Valeur d’ID de document" ma:description="Valeur de l’ID de document affecté à cet élément." ma:indexed="true" ma:internalName="_dlc_DocId" ma:readOnly="true">
      <xsd:simpleType>
        <xsd:restriction base="dms:Text"/>
      </xsd:simpleType>
    </xsd:element>
    <xsd:element name="_dlc_DocIdUrl" ma:index="15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c5d9a91-44a3-4684-93a2-b52d9d3f5708">SPHQ000037-1456102444-88</_dlc_DocId>
    <_dlc_DocIdUrl xmlns="5c5d9a91-44a3-4684-93a2-b52d9d3f5708">
      <Url>https://hydroquebec.sharepoint.com/sites/SP-HQ-000037/_layouts/15/DocIdRedir.aspx?ID=SPHQ000037-1456102444-88</Url>
      <Description>SPHQ000037-1456102444-88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F9207-86D1-4BB6-8263-7882FBA19D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3c047e-8c31-431b-a7b1-58ab116f0823"/>
    <ds:schemaRef ds:uri="5c5d9a91-44a3-4684-93a2-b52d9d3f57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1E694-ECEB-4121-8040-EB4B5C3C08B3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85F47F3-81B3-4260-82FA-44B1C38863E9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5c5d9a91-44a3-4684-93a2-b52d9d3f5708"/>
    <ds:schemaRef ds:uri="http://purl.org/dc/terms/"/>
    <ds:schemaRef ds:uri="http://www.w3.org/XML/1998/namespace"/>
    <ds:schemaRef ds:uri="http://purl.org/dc/dcmitype/"/>
    <ds:schemaRef ds:uri="8e3c047e-8c31-431b-a7b1-58ab116f0823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82051238-84AE-4A39-89E7-0AAFA837A19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4ec6976-0d4f-4459-9ebb-a5d0bc53b1ce}" enabled="1" method="Privileged" siteId="{f40a10f0-50ee-4880-9a37-6e1dd4ac2f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Guide</vt:lpstr>
      <vt:lpstr>En heures</vt:lpstr>
      <vt:lpstr>En jours</vt:lpstr>
      <vt:lpstr>Exemple</vt:lpstr>
      <vt:lpstr>Références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Sarda, Damien</dc:creator>
  <cp:keywords/>
  <dc:description/>
  <cp:lastModifiedBy>Zegal, Walid</cp:lastModifiedBy>
  <cp:revision/>
  <dcterms:created xsi:type="dcterms:W3CDTF">2024-08-12T16:31:53Z</dcterms:created>
  <dcterms:modified xsi:type="dcterms:W3CDTF">2026-05-29T14:18:06Z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4ec6976-0d4f-4459-9ebb-a5d0bc53b1ce_Extended_MSFT_Method">
    <vt:lpwstr>Standard</vt:lpwstr>
  </property>
  <property fmtid="{D5CDD505-2E9C-101B-9397-08002B2CF9AE}" pid="3" name="MSIP_Label_74ec6976-0d4f-4459-9ebb-a5d0bc53b1ce_Removed">
    <vt:lpwstr>False</vt:lpwstr>
  </property>
  <property fmtid="{D5CDD505-2E9C-101B-9397-08002B2CF9AE}" pid="4" name="ContentTypeId">
    <vt:lpwstr>0x0101006082745DF43EB149856A2040FDA2753E</vt:lpwstr>
  </property>
  <property fmtid="{D5CDD505-2E9C-101B-9397-08002B2CF9AE}" pid="5" name="MSIP_Label_74ec6976-0d4f-4459-9ebb-a5d0bc53b1ce_ActionId">
    <vt:lpwstr>f8cec306-4cdd-489d-b06b-309d5d5a0259</vt:lpwstr>
  </property>
  <property fmtid="{D5CDD505-2E9C-101B-9397-08002B2CF9AE}" pid="6" name="MSIP_Label_74ec6976-0d4f-4459-9ebb-a5d0bc53b1ce_SiteId">
    <vt:lpwstr>f40a10f0-50ee-4880-9a37-6e1dd4ac2ff3</vt:lpwstr>
  </property>
  <property fmtid="{D5CDD505-2E9C-101B-9397-08002B2CF9AE}" pid="7" name="MSIP_Label_74ec6976-0d4f-4459-9ebb-a5d0bc53b1ce_Enabled">
    <vt:lpwstr>True</vt:lpwstr>
  </property>
  <property fmtid="{D5CDD505-2E9C-101B-9397-08002B2CF9AE}" pid="8" name="MSIP_Label_74ec6976-0d4f-4459-9ebb-a5d0bc53b1ce_SetDate">
    <vt:lpwstr>2024-10-03T19:56:57Z</vt:lpwstr>
  </property>
  <property fmtid="{D5CDD505-2E9C-101B-9397-08002B2CF9AE}" pid="9" name="Sensitivity">
    <vt:lpwstr>Public</vt:lpwstr>
  </property>
  <property fmtid="{D5CDD505-2E9C-101B-9397-08002B2CF9AE}" pid="10" name="MSIP_Label_74ec6976-0d4f-4459-9ebb-a5d0bc53b1ce_Name">
    <vt:lpwstr>Public</vt:lpwstr>
  </property>
  <property fmtid="{D5CDD505-2E9C-101B-9397-08002B2CF9AE}" pid="11" name="_dlc_DocIdItemGuid">
    <vt:lpwstr>807f2448-74cd-4134-b519-afe4c05b0dc0</vt:lpwstr>
  </property>
</Properties>
</file>